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inni\Desktop\B站\数据\周报数据明细\3.26周\"/>
    </mc:Choice>
  </mc:AlternateContent>
  <xr:revisionPtr revIDLastSave="0" documentId="13_ncr:1_{6836FB36-6863-4667-8C4B-33CD234B8912}" xr6:coauthVersionLast="47" xr6:coauthVersionMax="47" xr10:uidLastSave="{00000000-0000-0000-0000-000000000000}"/>
  <bookViews>
    <workbookView xWindow="90" yWindow="-16320" windowWidth="29040" windowHeight="15720" xr2:uid="{00000000-000D-0000-FFFF-FFFF00000000}"/>
  </bookViews>
  <sheets>
    <sheet name="头部客制化" sheetId="1" r:id="rId1"/>
    <sheet name="匹配" sheetId="2" state="hidden" r:id="rId2"/>
    <sheet name="交易孵化" sheetId="3" r:id="rId3"/>
    <sheet name="头部非客制化" sheetId="4" r:id="rId4"/>
    <sheet name="从0→1客制化" sheetId="5" state="hidden" r:id="rId5"/>
    <sheet name="进展数据" sheetId="6" state="hidden" r:id="rId6"/>
  </sheet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4" i="6" l="1"/>
  <c r="P64" i="6"/>
  <c r="O64" i="6"/>
  <c r="Q54" i="6"/>
  <c r="P54" i="6"/>
  <c r="O54" i="6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</calcChain>
</file>

<file path=xl/sharedStrings.xml><?xml version="1.0" encoding="utf-8"?>
<sst xmlns="http://schemas.openxmlformats.org/spreadsheetml/2006/main" count="4290" uniqueCount="1625">
  <si>
    <t>是否已入驻</t>
  </si>
  <si>
    <t>GMV单位：万元/年</t>
  </si>
  <si>
    <t>UP人数</t>
  </si>
  <si>
    <t>全平台GMV</t>
  </si>
  <si>
    <t>B站带货GMV</t>
  </si>
  <si>
    <t>带货进度</t>
  </si>
  <si>
    <t>目标作业UP</t>
  </si>
  <si>
    <t>商品已上架</t>
  </si>
  <si>
    <t>开始内容带货</t>
  </si>
  <si>
    <t>未启动</t>
  </si>
  <si>
    <t>积极带货</t>
  </si>
  <si>
    <t>合计</t>
  </si>
  <si>
    <t>-客制化商品</t>
  </si>
  <si>
    <t>-农产品</t>
  </si>
  <si>
    <t>-非客制化商品</t>
  </si>
  <si>
    <t>非目标作业UP</t>
  </si>
  <si>
    <t>-</t>
  </si>
  <si>
    <t>-装机</t>
  </si>
  <si>
    <t>老帕</t>
  </si>
  <si>
    <t>马匀涵</t>
  </si>
  <si>
    <t>E</t>
  </si>
  <si>
    <t>小文哥吃吃吃</t>
  </si>
  <si>
    <t>马鹿</t>
  </si>
  <si>
    <t>王维诗里的MBTI</t>
  </si>
  <si>
    <t>阿哩布布</t>
  </si>
  <si>
    <t>麻薯波比呀</t>
  </si>
  <si>
    <t>琛</t>
  </si>
  <si>
    <t>王小七Fire</t>
  </si>
  <si>
    <t>待定</t>
  </si>
  <si>
    <t>卓叔增重</t>
  </si>
  <si>
    <t>厨师徐嘉乐</t>
  </si>
  <si>
    <t>来自星星的何教授</t>
  </si>
  <si>
    <t>老爸评测</t>
  </si>
  <si>
    <t>手艺贾</t>
  </si>
  <si>
    <t>P0</t>
  </si>
  <si>
    <t>TESTV官方频道</t>
  </si>
  <si>
    <t>P1</t>
  </si>
  <si>
    <t>BettySays</t>
  </si>
  <si>
    <t>P2</t>
  </si>
  <si>
    <t>段小段美食教程</t>
  </si>
  <si>
    <t>差生文具盒</t>
  </si>
  <si>
    <t>STN工作室</t>
  </si>
  <si>
    <t>黄正极</t>
  </si>
  <si>
    <t>开店状态</t>
  </si>
  <si>
    <t>B站带货量级</t>
  </si>
  <si>
    <t>雁鸿Aimee</t>
  </si>
  <si>
    <t>已开店有动销</t>
  </si>
  <si>
    <t>历史老师定哥</t>
  </si>
  <si>
    <t>千万级</t>
  </si>
  <si>
    <t>结巴老爹</t>
  </si>
  <si>
    <t>百万级</t>
  </si>
  <si>
    <t>军哥习惯过了头</t>
  </si>
  <si>
    <t>十万级</t>
  </si>
  <si>
    <t>老疯杨</t>
  </si>
  <si>
    <t>十万以下</t>
  </si>
  <si>
    <t>范李猿</t>
  </si>
  <si>
    <t>已开店无动销</t>
  </si>
  <si>
    <t>meetfood觅食</t>
  </si>
  <si>
    <t>趣弹音乐尤克里里</t>
  </si>
  <si>
    <t>海蒂的花园</t>
  </si>
  <si>
    <t>一数</t>
  </si>
  <si>
    <t>未开店</t>
  </si>
  <si>
    <t>大树音乐屋</t>
  </si>
  <si>
    <t>尔东和小明</t>
  </si>
  <si>
    <t>goodgod-auto</t>
  </si>
  <si>
    <t>万能工具人阿伟</t>
  </si>
  <si>
    <t>想想工作室</t>
  </si>
  <si>
    <t>村驴</t>
  </si>
  <si>
    <t>大雷的食品科普日常</t>
  </si>
  <si>
    <t>美食作家王刚R</t>
  </si>
  <si>
    <t>直接拉数版</t>
  </si>
  <si>
    <t>水果猎人杨晓洋</t>
  </si>
  <si>
    <t>滇西小哥</t>
  </si>
  <si>
    <t>溫暖的冷风</t>
  </si>
  <si>
    <t>盗月社食遇记</t>
  </si>
  <si>
    <t>--农产品</t>
  </si>
  <si>
    <t>马壮实</t>
  </si>
  <si>
    <t>--装机</t>
  </si>
  <si>
    <t>影视飓风</t>
  </si>
  <si>
    <t>--客制化商品</t>
  </si>
  <si>
    <t>特效小哥studio</t>
  </si>
  <si>
    <t>古叔の着</t>
  </si>
  <si>
    <t>强行配平版</t>
  </si>
  <si>
    <t>李景秀</t>
  </si>
  <si>
    <t>日食记</t>
  </si>
  <si>
    <t>食贫道</t>
  </si>
  <si>
    <t>先看评测</t>
  </si>
  <si>
    <t>大物是也</t>
  </si>
  <si>
    <t>极速拍档</t>
  </si>
  <si>
    <t>上青杰哥</t>
  </si>
  <si>
    <t>极客鞋谈</t>
  </si>
  <si>
    <t>奥粒</t>
  </si>
  <si>
    <t>帅农鸟哥</t>
  </si>
  <si>
    <t>燕子堡BBQ学徒Ray</t>
  </si>
  <si>
    <t>考研英语大雁</t>
  </si>
  <si>
    <t>摸鱼事务所</t>
  </si>
  <si>
    <t>zettaranc</t>
  </si>
  <si>
    <t>up昵称</t>
  </si>
  <si>
    <t>up mid</t>
  </si>
  <si>
    <t>潜力分值</t>
  </si>
  <si>
    <t>是否有客制化商品</t>
  </si>
  <si>
    <t>类目</t>
  </si>
  <si>
    <t>注册时手机号</t>
  </si>
  <si>
    <t>对接运营</t>
  </si>
  <si>
    <t>是否建联</t>
  </si>
  <si>
    <t>是否合作</t>
  </si>
  <si>
    <t>合作进展详述</t>
  </si>
  <si>
    <t>其他备注</t>
  </si>
  <si>
    <t>粉丝数</t>
  </si>
  <si>
    <t>高粘粉占比</t>
  </si>
  <si>
    <t>高粘粉丝数</t>
  </si>
  <si>
    <t>账号月活用户人数</t>
  </si>
  <si>
    <t>story播放占比</t>
  </si>
  <si>
    <t>近三月OTT来源占比</t>
  </si>
  <si>
    <t>近三个月内容发布数</t>
  </si>
  <si>
    <t>近三个月稿均VV</t>
  </si>
  <si>
    <t>近三个月稿均非OTT VV</t>
  </si>
  <si>
    <t>近半年内容发布数</t>
  </si>
  <si>
    <t>近半年稿均VV</t>
  </si>
  <si>
    <t>18岁+粉丝占比</t>
  </si>
  <si>
    <t>18岁+粉丝人数</t>
  </si>
  <si>
    <t>极客湾Geekerwan</t>
  </si>
  <si>
    <t>有</t>
  </si>
  <si>
    <t>数码测评</t>
  </si>
  <si>
    <t>papi酱</t>
  </si>
  <si>
    <t>无</t>
  </si>
  <si>
    <t>情景演绎</t>
  </si>
  <si>
    <t>建联中：papijiang@papitube.com</t>
  </si>
  <si>
    <t>美食测评</t>
  </si>
  <si>
    <t>小片片说大片</t>
  </si>
  <si>
    <t>知识科普</t>
  </si>
  <si>
    <t>木鱼水心</t>
  </si>
  <si>
    <t>影视解说</t>
  </si>
  <si>
    <t>无穷小亮的科普日常</t>
  </si>
  <si>
    <t>小约翰可汗</t>
  </si>
  <si>
    <t>芳斯塔芙</t>
  </si>
  <si>
    <t>生物知识</t>
  </si>
  <si>
    <t>布布</t>
  </si>
  <si>
    <t>思维实验室</t>
  </si>
  <si>
    <t>毕导</t>
  </si>
  <si>
    <t>宝剑嫂</t>
  </si>
  <si>
    <t>美妆博主</t>
  </si>
  <si>
    <t>绵羊料理</t>
  </si>
  <si>
    <t>美食博主</t>
  </si>
  <si>
    <t>定制联名厨具套装、香料/调味品礼盒、小册子等</t>
  </si>
  <si>
    <t>Meetfood觅食</t>
  </si>
  <si>
    <t>某幻君</t>
  </si>
  <si>
    <t>游戏解说</t>
  </si>
  <si>
    <t>是否要通过社区联系？</t>
  </si>
  <si>
    <t>真名：马浩宁，大家叫他马哥，粉丝小马驹Maggie
游戏博主，对于游戏讲解风格独树一帜，此外声音好听也出过一些歌曲，时常与老番茄等账号联动，历史上出过很多联动节目
粉丝粘性高33w，历史有过相关舆情：谈了一个粉丝不喜欢的女朋友，假分过一次，结果粉丝发现没分
最近一期视频，B站邀请他去韩国看权志龙的演唱会，及BW现场</t>
  </si>
  <si>
    <t>老番茄</t>
  </si>
  <si>
    <t>生活博主</t>
  </si>
  <si>
    <t>签约超电</t>
  </si>
  <si>
    <t>逗比的雀巢</t>
  </si>
  <si>
    <t>搞笑博主</t>
  </si>
  <si>
    <t>是</t>
  </si>
  <si>
    <t>已建联，团队商务，历史已联名过bG（产品应该是已经下掉了），自己的工作室也有相关周边，当前在会员购小店售卖53单，淘宝1000单+，后续打算将小店开在UP主主页下，已同步相关政策</t>
  </si>
  <si>
    <t>中国BOY超级大猩猩</t>
  </si>
  <si>
    <t>娱乐博主</t>
  </si>
  <si>
    <t>和浪浪山大猩猩联名？？？</t>
  </si>
  <si>
    <t>尴尬的铁根er</t>
  </si>
  <si>
    <t>已建联，对周边不感兴趣，无论是和bG联名还是和游戏联名</t>
  </si>
  <si>
    <t>铁根卡通形象的玩偶、痛包、经典语录盲盒、或者是一些游戏联名</t>
  </si>
  <si>
    <t>小潮院长</t>
  </si>
  <si>
    <t>已合作</t>
  </si>
  <si>
    <t>小透明明TM</t>
  </si>
  <si>
    <t>已有case</t>
  </si>
  <si>
    <t>汽车博主</t>
  </si>
  <si>
    <t>确定</t>
  </si>
  <si>
    <t>对接中</t>
  </si>
  <si>
    <t>渤海小吏</t>
  </si>
  <si>
    <t>真探唐仁杰</t>
  </si>
  <si>
    <t>美食探店</t>
  </si>
  <si>
    <t>知名相声演员BBBBB大王</t>
  </si>
  <si>
    <t>啊吗粽</t>
  </si>
  <si>
    <t>已建联，商务是UP主妹妹，对bG联名不感兴趣（认为是饭圈行为，历史其他百大朋友出玩偶之类的有过舆情，因此那圈人对于这块都有较大的抵触情绪），但是对于和知名IP感兴趣，需要有明确的IP资源</t>
  </si>
  <si>
    <t>首批百大，生活搞笑为主，粉丝小粽子，可以以家庭维度去出周边“家庭IP”，历史没有舆情，家庭幸福
粉丝粘性22w+，历史没有出过任何周边</t>
  </si>
  <si>
    <t>雨哥到处跑</t>
  </si>
  <si>
    <t>暂不适合形象外化</t>
  </si>
  <si>
    <t>力元君</t>
  </si>
  <si>
    <t>已建联，机构商务：LYLTI566，直接拒绝，说没有意向做周边</t>
  </si>
  <si>
    <t>阿斗归来了</t>
  </si>
  <si>
    <t>历史调研室</t>
  </si>
  <si>
    <t>硬核的半佛仙人</t>
  </si>
  <si>
    <t>匀涵</t>
  </si>
  <si>
    <t>已建联，目前没什么想法</t>
  </si>
  <si>
    <t>食品玩偶、主题厨具、复刻名菜礼盒、文创周边、美食猫用</t>
  </si>
  <si>
    <t>-欣小萌-</t>
  </si>
  <si>
    <t>颜值主播</t>
  </si>
  <si>
    <t>老师好我叫何同学</t>
  </si>
  <si>
    <t>数码创意</t>
  </si>
  <si>
    <t>布布,匀涵</t>
  </si>
  <si>
    <t>记录生活的蛋黄派</t>
  </si>
  <si>
    <t>画渣花小烙</t>
  </si>
  <si>
    <t>漫画博主</t>
  </si>
  <si>
    <t>已建联，本人，这两个比较忙没有时间做周边相关</t>
  </si>
  <si>
    <t>玩偶周边</t>
  </si>
  <si>
    <t>进击的金厂长</t>
  </si>
  <si>
    <t>已建联，本人：jinboss66，直接拒绝，只接商单</t>
  </si>
  <si>
    <t>成功的虚拟动画IP，目前没有历史的相关周边</t>
  </si>
  <si>
    <t>火柴人AlanBecker</t>
  </si>
  <si>
    <t>已建联，有意向
火柴人AlanBecker
【基本情况】base北京，已有小店且售卖自己的周边(玩偶、日用品为主)，历史和国外IP联名给他们授权费20%，他们自己渠道销售授权费30%；有意愿与B站联名，主要看着B站平台头衔，自有成熟的电商渠道，bG联名倾向于选择：仅授权→仅授权+经销
---
方向一：bG联名 有意愿，核心看重B站联名 
当前卡点
①仅授权模式：带货佣金10%太低，且仅UP主售出渠道有佣金分成，会员购销售GMV不参与佣金分成
②仅授权+经销模式：因会员购销售仅参与3-5%的授权分成，6折采购偏贵，期望5折采购（反馈市场一般类似周边生产成本在20-25%）
③问题：授权期到了以后，B站是否还有销售产品的权力
方向二：深度周边，UP主暂时没想法，建议方向是学术收藏向</t>
  </si>
  <si>
    <t>B站联动</t>
  </si>
  <si>
    <t>雨琪在芬兰</t>
  </si>
  <si>
    <t>日常博主</t>
  </si>
  <si>
    <t>努力的Lorre</t>
  </si>
  <si>
    <t>电影最TOP</t>
  </si>
  <si>
    <t>泛式</t>
  </si>
  <si>
    <t>动漫解说</t>
  </si>
  <si>
    <t>帕梅拉PamelaReif</t>
  </si>
  <si>
    <t>健身博主</t>
  </si>
  <si>
    <t>莴苣某人</t>
  </si>
  <si>
    <t>纯原神向，适合和原神联名，感觉不太可能</t>
  </si>
  <si>
    <t>星有野</t>
  </si>
  <si>
    <t>否</t>
  </si>
  <si>
    <t>待沟通</t>
  </si>
  <si>
    <t>你的影月月</t>
  </si>
  <si>
    <t>与山0v0</t>
  </si>
  <si>
    <t>已建联，本人，但是暂未反馈</t>
  </si>
  <si>
    <t>方向一：xB站官方联名，例如基于UP主的形象做卡通形象的玩偶、痛包、经典语录盲盒
方向二：游戏IP联名周边，这个需要UP主有一些个人的想法，历史B站有过授权合作的IP都可以尝试合作，将创意实体化</t>
  </si>
  <si>
    <t>HOLA小测佬</t>
  </si>
  <si>
    <t>环球旅行</t>
  </si>
  <si>
    <t>小王Albert</t>
  </si>
  <si>
    <t>Linksphotograph</t>
  </si>
  <si>
    <t>摄影博主</t>
  </si>
  <si>
    <t>行走社，暂未建联，适合图集之列的周边</t>
  </si>
  <si>
    <t>-LKs-</t>
  </si>
  <si>
    <t>文西与阿漆</t>
  </si>
  <si>
    <t>学过石油的语文老师</t>
  </si>
  <si>
    <t>原野郎中</t>
  </si>
  <si>
    <t>已建联，觉得有意思可以做，但是纠结于自己账号个人卡通形象不明显，想了一下还是决定不联名了</t>
  </si>
  <si>
    <t>卡通形象的玩偶、痛包、联名耳机/键盘/鼠标、或者是一些游戏联名周边</t>
  </si>
  <si>
    <t>Yooupi食途</t>
  </si>
  <si>
    <t>旅行博主</t>
  </si>
  <si>
    <t>马里奥红叔</t>
  </si>
  <si>
    <t>老饭骨</t>
  </si>
  <si>
    <t>逍遥散人</t>
  </si>
  <si>
    <t>籽岷</t>
  </si>
  <si>
    <t>水无月菌</t>
  </si>
  <si>
    <t>刘庸干净又卫生</t>
  </si>
  <si>
    <t>在下哲别</t>
  </si>
  <si>
    <t>已建联商务，拒绝合作，表示不感兴趣，商务：but5600</t>
  </si>
  <si>
    <t>建议团体模式出</t>
  </si>
  <si>
    <t>叫我死盖就好</t>
  </si>
  <si>
    <t>哦呼w</t>
  </si>
  <si>
    <t>搞笑剪辑</t>
  </si>
  <si>
    <t>河野华</t>
  </si>
  <si>
    <t>已与bilibiliGoods合作</t>
  </si>
  <si>
    <t>谭乔</t>
  </si>
  <si>
    <t>警察采访</t>
  </si>
  <si>
    <t>超Carry的柴西</t>
  </si>
  <si>
    <t>森纳映画</t>
  </si>
  <si>
    <t>HOPICO</t>
  </si>
  <si>
    <t>音乐博主</t>
  </si>
  <si>
    <t>手机号无效</t>
  </si>
  <si>
    <t>“审美品味”和“生活方式”：黑胶唱机配件套装、音频配件（联名耳机/耳机支架等），联名话筒等？
蓝牙耳机玩偶、主持人盲盒系列（沉思、聆听、讲述、隐藏）、唱片模玩等</t>
  </si>
  <si>
    <t>马刀刻森</t>
  </si>
  <si>
    <t>拒绝</t>
  </si>
  <si>
    <t>已建联；ACG组已对接，对新品类拓展暂时不感兴趣</t>
  </si>
  <si>
    <t>老实憨厚的笑笑</t>
  </si>
  <si>
    <t>老戴在此</t>
  </si>
  <si>
    <t>魔法Zc目录</t>
  </si>
  <si>
    <t>卡特亚</t>
  </si>
  <si>
    <t>已建联，本人，对于周边&amp;联名均无意愿</t>
  </si>
  <si>
    <t>联名耳机/音响/键盘/鼠标、主题衣服、痛包等</t>
  </si>
  <si>
    <t>企鹅带带北极熊</t>
  </si>
  <si>
    <t>怕上火暴王老菊</t>
  </si>
  <si>
    <t>红警HBK08</t>
  </si>
  <si>
    <t>刘老师说电影</t>
  </si>
  <si>
    <t>兔叭咯</t>
  </si>
  <si>
    <t>医学科普</t>
  </si>
  <si>
    <t>手工耿</t>
  </si>
  <si>
    <t>手工创意</t>
  </si>
  <si>
    <t>无有效联系方式</t>
  </si>
  <si>
    <t>手工耿联名工具、“耿式”工作围裙、各种发明的模型/玩偶/日用品等</t>
  </si>
  <si>
    <t>敬汉卿</t>
  </si>
  <si>
    <t>日常生活</t>
  </si>
  <si>
    <t>罗翔说刑法</t>
  </si>
  <si>
    <t>待建联</t>
  </si>
  <si>
    <t>潜艇伟伟迷</t>
  </si>
  <si>
    <t>敲萌豹风党</t>
  </si>
  <si>
    <t>山城小栗旬的理发日记</t>
  </si>
  <si>
    <t>理发博主</t>
  </si>
  <si>
    <t>上班族的便当</t>
  </si>
  <si>
    <t>枪弹轨迹</t>
  </si>
  <si>
    <t>1900影剧室</t>
  </si>
  <si>
    <t>泽野螳螂</t>
  </si>
  <si>
    <t>泡厨房的顾小胖</t>
  </si>
  <si>
    <t>料理账号</t>
  </si>
  <si>
    <t>羊羊羊PD</t>
  </si>
  <si>
    <t>天天卡牌</t>
  </si>
  <si>
    <t>布锅锅</t>
  </si>
  <si>
    <t>培根悖论唠唠嗑</t>
  </si>
  <si>
    <t>JKAI杰凯</t>
  </si>
  <si>
    <t>利维坦mY</t>
  </si>
  <si>
    <t>万灵缝合厂</t>
  </si>
  <si>
    <t>啊粥粥啊粥</t>
  </si>
  <si>
    <t>拜托了小翔哥</t>
  </si>
  <si>
    <t>鹤吱菌</t>
  </si>
  <si>
    <t>The梁某人</t>
  </si>
  <si>
    <t>萝太永不破防</t>
  </si>
  <si>
    <t>3546376524794441</t>
  </si>
  <si>
    <t>祖娅纳惜</t>
  </si>
  <si>
    <t>二二酸酸</t>
  </si>
  <si>
    <t>苏打baka</t>
  </si>
  <si>
    <t>科技测评</t>
  </si>
  <si>
    <t>史蒂猪StevenPig</t>
  </si>
  <si>
    <t>中气爱</t>
  </si>
  <si>
    <t>凉风Kaze</t>
  </si>
  <si>
    <t>渗透之C君</t>
  </si>
  <si>
    <t>hanser</t>
  </si>
  <si>
    <t>音频设备联名、IP联动、痛包等、CD礼盒等</t>
  </si>
  <si>
    <t>沈逸老师</t>
  </si>
  <si>
    <t>大祥哥来了</t>
  </si>
  <si>
    <t>迷影至下Filmlast</t>
  </si>
  <si>
    <t>纳豆奶奶</t>
  </si>
  <si>
    <t>大象放映室</t>
  </si>
  <si>
    <t>酒客小丑</t>
  </si>
  <si>
    <t>保镖的车库</t>
  </si>
  <si>
    <t>东尼ookii</t>
  </si>
  <si>
    <t>贤宝宝Baby</t>
  </si>
  <si>
    <t>测评博主</t>
  </si>
  <si>
    <t>瓶子君152</t>
  </si>
  <si>
    <t>硬件茶谈</t>
  </si>
  <si>
    <t>刘哔电影</t>
  </si>
  <si>
    <t>Chubbyemu</t>
  </si>
  <si>
    <t>正直讲史-李正Str</t>
  </si>
  <si>
    <t>奇闻观察室</t>
  </si>
  <si>
    <t>故事讲解</t>
  </si>
  <si>
    <t>Jason-老湿</t>
  </si>
  <si>
    <t>自来卷三木</t>
  </si>
  <si>
    <t>已建联，机构商务，蜂群-zljsm233，同步相关信息，商务反馈暂时没有做周边的想法（单纯不感兴趣）</t>
  </si>
  <si>
    <t>“行为IP”成功转化为“视觉IP”
搞笑UP主，形象+行为具有标志性，历史无舆情，无相关周边，账号以情景演绎为主，人格分裂+整蛊活动</t>
  </si>
  <si>
    <t>塑料叉FOKU</t>
  </si>
  <si>
    <t>已建联，UP出国读书，暂时无产品化打算</t>
  </si>
  <si>
    <t>Super也好君</t>
  </si>
  <si>
    <t>黑镖客梦回</t>
  </si>
  <si>
    <t>动漫博主</t>
  </si>
  <si>
    <t>HuangFuRen</t>
  </si>
  <si>
    <t>学习博主</t>
  </si>
  <si>
    <t>猛男舞团IconX</t>
  </si>
  <si>
    <t>舞蹈博主</t>
  </si>
  <si>
    <t>nya酱的一生</t>
  </si>
  <si>
    <t>小鹿Lawrence</t>
  </si>
  <si>
    <t>安州牧</t>
  </si>
  <si>
    <t>已建联
安州沐基础情况
1️⃣个人品牌：
*本周四晚直播，卖上周上新的新品6件，不做任何优惠（已劝效果会不好，没用，一意孤行）；
*预热不会发和新品相关的视频，最多在评论区挂自己品牌的商品和引导预约，可以发动态预热；
*先前没有在任何平台做过直播带货，个人品牌目前一天GMV4k，一季一次上新4-6个sku，下周在抖音直播带货对比效果决定主直播带货平台；
*目前直播团队3人，UP主（偶尔出镜）+1个主播+1个助播；
*对本场直播没有GMV期待，别被粉丝骂就行
2️⃣开小店卡点
1、是否会影响tb流量：当前主要靠B站引流淘宝，但不认可B站/抖音等内容平台的电商，觉得店铺应该开在TB这类传统的货架电商，若小店开在B站，是否影响淘宝流量，是否能带来新的增量？
2、影视飓风在抖音开店，感觉抖音效果就是更好
3、后续打算服饰在tb运营，周边在B站小店运营
3️⃣IP联名
1、历史和bG联名过娃娃，作为赠送给粉丝的福利，但对设计不满意
2、已和行走社签约，预计新书26年底出，可放在B站小店售卖
3、6款历史人物盲盒，当前未找到合适的供应商（不和bG合作），也有出周边T恤、日用品等想法，历史做过一款Q版唐朝人物鼠标垫反响不错</t>
  </si>
  <si>
    <t>1、个人品牌：是否有意向入驻B站小店，平台可以给到流量扶持
2、周边：
①和B站联名：基于UP主视频内容出周边，例如“名臣名将”Q版/国风系列玩偶/人物盲盒、“地图开拓者”系列（历史视频中出现的经典古地图）做成海报/图册合集/鼠标垫等、个人形象玩偶/痛包
②和其他IP联名：和一些历史相关主题联名产品，例如《三国·谋定天下》之类的，这块需要UP主个人有一些想法，我们来看看能不能落地</t>
  </si>
  <si>
    <t>上海滩许Van强</t>
  </si>
  <si>
    <t>幾加乘</t>
  </si>
  <si>
    <t>已建联；有意愿，节后详细聊</t>
  </si>
  <si>
    <t>伢伢gagako</t>
  </si>
  <si>
    <t>KerryDowdle</t>
  </si>
  <si>
    <t>兰音Reine</t>
  </si>
  <si>
    <t>Upspeed盛嘉成</t>
  </si>
  <si>
    <t>学姐圆</t>
  </si>
  <si>
    <t>老李船长</t>
  </si>
  <si>
    <t>科技博主</t>
  </si>
  <si>
    <t>周六野Zoey</t>
  </si>
  <si>
    <t>宋浩老师官方</t>
  </si>
  <si>
    <t>咻咻满</t>
  </si>
  <si>
    <t>取景框看世界</t>
  </si>
  <si>
    <t>李白尼的猜想</t>
  </si>
  <si>
    <t>黑猫厨房</t>
  </si>
  <si>
    <t>浅澄月</t>
  </si>
  <si>
    <t>创业博主</t>
  </si>
  <si>
    <t>已建联，马鹿&amp;布布跟进中</t>
  </si>
  <si>
    <t>九三的耳朵不是特别好</t>
  </si>
  <si>
    <t>阿特警官</t>
  </si>
  <si>
    <t>浑元Rysn</t>
  </si>
  <si>
    <t>FoFTG</t>
  </si>
  <si>
    <t>狂阿弥_</t>
  </si>
  <si>
    <t>汪苏泷</t>
  </si>
  <si>
    <t>明星</t>
  </si>
  <si>
    <t>浅影阿_</t>
  </si>
  <si>
    <t>黑桐谷歌</t>
  </si>
  <si>
    <t>远古时代装机猿</t>
  </si>
  <si>
    <t>科技美学</t>
  </si>
  <si>
    <t>大狸子切切里</t>
  </si>
  <si>
    <t>智能路障</t>
  </si>
  <si>
    <t>苏星河牛通</t>
  </si>
  <si>
    <t>猫不理咖啡</t>
  </si>
  <si>
    <t>猫咪账号</t>
  </si>
  <si>
    <t>已建联，意愿不强，电商非主营业务，短期内无电商规划；人力不够</t>
  </si>
  <si>
    <t>本喵叫兔兔</t>
  </si>
  <si>
    <t>萌宠博主</t>
  </si>
  <si>
    <t>网不红萌叔Joey</t>
  </si>
  <si>
    <t>碎嘴企鹅</t>
  </si>
  <si>
    <t>哈米伦的弄笛者</t>
  </si>
  <si>
    <t>盒子酸奶</t>
  </si>
  <si>
    <t>芦苇十三少</t>
  </si>
  <si>
    <t>吸奇侠</t>
  </si>
  <si>
    <t>瑞克Zero</t>
  </si>
  <si>
    <t>芒果冰OL</t>
  </si>
  <si>
    <t>小艾大叔</t>
  </si>
  <si>
    <t>装修博主</t>
  </si>
  <si>
    <t>我的样子平平无奇</t>
  </si>
  <si>
    <t>穿搭博主</t>
  </si>
  <si>
    <t>靠脸吃饭的徐大王</t>
  </si>
  <si>
    <t>尕丶天堂</t>
  </si>
  <si>
    <t>雨说体育徐静雨</t>
  </si>
  <si>
    <t>体育解说</t>
  </si>
  <si>
    <t>不正经老丝</t>
  </si>
  <si>
    <t>倒悬的橘子</t>
  </si>
  <si>
    <t>知了解压萌物</t>
  </si>
  <si>
    <t>宠物博主</t>
  </si>
  <si>
    <t>M木糖M</t>
  </si>
  <si>
    <t>自动鬼畜中的WZ</t>
  </si>
  <si>
    <t>三无Marblue</t>
  </si>
  <si>
    <t>鹿火CAVY</t>
  </si>
  <si>
    <t>KBShinya</t>
  </si>
  <si>
    <t>翠花不太脆</t>
  </si>
  <si>
    <t>晓观队长</t>
  </si>
  <si>
    <t>主题穿搭</t>
  </si>
  <si>
    <t>潮汕好男人</t>
  </si>
  <si>
    <t>祁么么mo</t>
  </si>
  <si>
    <t>徐大花xudahua</t>
  </si>
  <si>
    <t>已建联，手工课材料包，不考虑电商方向</t>
  </si>
  <si>
    <t>青莲又失利了</t>
  </si>
  <si>
    <t>剑客范十三</t>
  </si>
  <si>
    <t>圆某人和四某人</t>
  </si>
  <si>
    <t>附魔星Fms</t>
  </si>
  <si>
    <t>阿萨Aza</t>
  </si>
  <si>
    <t>虚拟偶像</t>
  </si>
  <si>
    <t>虾仁不眨眼-游戏直播</t>
  </si>
  <si>
    <t>3546581982775788</t>
  </si>
  <si>
    <t>吃素的狮子</t>
  </si>
  <si>
    <t>情景拍摄</t>
  </si>
  <si>
    <t>唠点历史</t>
  </si>
  <si>
    <t>丸子叨叨叨</t>
  </si>
  <si>
    <t>外网搬运</t>
  </si>
  <si>
    <t>碰碰彭碰彭</t>
  </si>
  <si>
    <t>文化传播</t>
  </si>
  <si>
    <t>多多poi丶</t>
  </si>
  <si>
    <t>已建联，暂未回复，未约到合适时间沟通</t>
  </si>
  <si>
    <t>神奇菌汤锅</t>
  </si>
  <si>
    <t>远古黑金</t>
  </si>
  <si>
    <t>动漫剪辑</t>
  </si>
  <si>
    <t>深海色带鱼</t>
  </si>
  <si>
    <t>推背兔の</t>
  </si>
  <si>
    <t>终极小腾</t>
  </si>
  <si>
    <t>★⑥檤轮囬★</t>
  </si>
  <si>
    <t>Mr迷瞪</t>
  </si>
  <si>
    <t>和猫住</t>
  </si>
  <si>
    <t>诺子喵呜</t>
  </si>
  <si>
    <t>侯翠翠</t>
  </si>
  <si>
    <t>天真的和感伤的小说家</t>
  </si>
  <si>
    <t>乡村教师日记</t>
  </si>
  <si>
    <t>怪力老陈</t>
  </si>
  <si>
    <t>黄龄</t>
  </si>
  <si>
    <t>稚晖君</t>
  </si>
  <si>
    <t>曼食慢语</t>
  </si>
  <si>
    <t>刘谦</t>
  </si>
  <si>
    <t>徐大sao</t>
  </si>
  <si>
    <t>歪果仁研究协会</t>
  </si>
  <si>
    <t>嘟督不噶油</t>
  </si>
  <si>
    <t>花花与三猫CatLive</t>
  </si>
  <si>
    <t>绫人太太啊</t>
  </si>
  <si>
    <t>导演小策</t>
  </si>
  <si>
    <t>电话未接，微信验证中</t>
  </si>
  <si>
    <t>韩小四AprilHan</t>
  </si>
  <si>
    <t>罗汉解说</t>
  </si>
  <si>
    <t>oooooohmygosh</t>
  </si>
  <si>
    <t>克里米亚野生动物园</t>
  </si>
  <si>
    <t>女胖胖</t>
  </si>
  <si>
    <t>黑椒墨鱼</t>
  </si>
  <si>
    <t>矮乐多Aliga</t>
  </si>
  <si>
    <t>鹦鹉梨</t>
  </si>
  <si>
    <t>香香软软的小泡芙</t>
  </si>
  <si>
    <t>暗猫の祝福</t>
  </si>
  <si>
    <t>MayTree五月树</t>
  </si>
  <si>
    <t>拉草莓的西瓜JUN</t>
  </si>
  <si>
    <t>古风歌手</t>
  </si>
  <si>
    <t>汉森白JW</t>
  </si>
  <si>
    <t>主厨农国栋</t>
  </si>
  <si>
    <t>活蹦乱跳的肥曈</t>
  </si>
  <si>
    <t>中二少年晓凯</t>
  </si>
  <si>
    <t>-小D-biu</t>
  </si>
  <si>
    <t>利利那TD25</t>
  </si>
  <si>
    <t>模玩博主</t>
  </si>
  <si>
    <t>BBoxer酋长</t>
  </si>
  <si>
    <t>Milk缪客</t>
  </si>
  <si>
    <t>-纯黑-</t>
  </si>
  <si>
    <t>好运的鱼</t>
  </si>
  <si>
    <t>所长Wy</t>
  </si>
  <si>
    <t>是大腿</t>
  </si>
  <si>
    <t>伊丽莎白鼠</t>
  </si>
  <si>
    <t>花少北丶</t>
  </si>
  <si>
    <t>墨韵Moyun</t>
  </si>
  <si>
    <t>EdmundDZhang</t>
  </si>
  <si>
    <t>狂风桑</t>
  </si>
  <si>
    <t>奶糕成精档案社</t>
  </si>
  <si>
    <t>在下铁头阿彪</t>
  </si>
  <si>
    <t>哦漏QAQ</t>
  </si>
  <si>
    <t>阿幕降临</t>
  </si>
  <si>
    <t>假美食po主</t>
  </si>
  <si>
    <t>沙盘上的战争</t>
  </si>
  <si>
    <t>帅soserious</t>
  </si>
  <si>
    <t>面筋哥-程书林</t>
  </si>
  <si>
    <t>迷因水母</t>
  </si>
  <si>
    <t>敖厂长</t>
  </si>
  <si>
    <t>一鹿有车</t>
  </si>
  <si>
    <t>o小庄o</t>
  </si>
  <si>
    <t>图灵的猫</t>
  </si>
  <si>
    <t>AI学习</t>
  </si>
  <si>
    <t>小店链接为课程，对客制化不感兴趣</t>
  </si>
  <si>
    <t>我是怪异君</t>
  </si>
  <si>
    <t>ilem</t>
  </si>
  <si>
    <t>老坛胡说</t>
  </si>
  <si>
    <t>嘉然今天吃什么</t>
  </si>
  <si>
    <t>冯提莫</t>
  </si>
  <si>
    <t>温柔JUNZ</t>
  </si>
  <si>
    <t>A路人</t>
  </si>
  <si>
    <t>Vicky宣宣</t>
  </si>
  <si>
    <t>小缘</t>
  </si>
  <si>
    <t>抽风Crazy</t>
  </si>
  <si>
    <t>凤凰传奇</t>
  </si>
  <si>
    <t>翔翔大作战</t>
  </si>
  <si>
    <t>叔贵</t>
  </si>
  <si>
    <t>衣戈猜想</t>
  </si>
  <si>
    <t>萧忆情Alex</t>
  </si>
  <si>
    <t>一花啦啦啦</t>
  </si>
  <si>
    <t>Kevin英语情报局</t>
  </si>
  <si>
    <t>设计师深海</t>
  </si>
  <si>
    <t>柿子菌meow</t>
  </si>
  <si>
    <t>丰兄来了</t>
  </si>
  <si>
    <t>猫店</t>
  </si>
  <si>
    <t>小熊绅士</t>
  </si>
  <si>
    <t>绘画博主</t>
  </si>
  <si>
    <t>我是郭杰瑞</t>
  </si>
  <si>
    <t>二喵的饭</t>
  </si>
  <si>
    <t>才疏学浅的才浅</t>
  </si>
  <si>
    <t>马壮实Hera</t>
  </si>
  <si>
    <t>守护茶茶</t>
  </si>
  <si>
    <t>痒局长</t>
  </si>
  <si>
    <t>电话未接，私信未回，微信验证中</t>
  </si>
  <si>
    <t>红色激情</t>
  </si>
  <si>
    <t>朱一旦的枯燥生活</t>
  </si>
  <si>
    <t>爱做饭的芋头SAMA</t>
  </si>
  <si>
    <t>排骨教主</t>
  </si>
  <si>
    <t>信誓蛋蛋</t>
  </si>
  <si>
    <t>荒野求生</t>
  </si>
  <si>
    <t>孤独的美食基</t>
  </si>
  <si>
    <t>=咬人猫=</t>
  </si>
  <si>
    <t>蜡笔和小勋</t>
  </si>
  <si>
    <t>大碗拿铁</t>
  </si>
  <si>
    <t>文不叮</t>
  </si>
  <si>
    <t>嘻咦啊看</t>
  </si>
  <si>
    <t>小见见Zz</t>
  </si>
  <si>
    <t>靠谱电竞</t>
  </si>
  <si>
    <t>文曰小强</t>
  </si>
  <si>
    <t>神秘店长A</t>
  </si>
  <si>
    <t>茶理理理子</t>
  </si>
  <si>
    <t>音乐制作人Kurt</t>
  </si>
  <si>
    <t>杰里德Jared</t>
  </si>
  <si>
    <t>汪品先</t>
  </si>
  <si>
    <t>山药视频</t>
  </si>
  <si>
    <t>女孩为何穿短裙</t>
  </si>
  <si>
    <t>还有一天就放假了</t>
  </si>
  <si>
    <t>千户长生</t>
  </si>
  <si>
    <t>齐天大肾余潇洒</t>
  </si>
  <si>
    <t>kei和marin</t>
  </si>
  <si>
    <t>聚印象视频</t>
  </si>
  <si>
    <t>Vivekatt</t>
  </si>
  <si>
    <t>小可儿</t>
  </si>
  <si>
    <t>杨可爱Ukulele</t>
  </si>
  <si>
    <t>帅你一脸毛蛋</t>
  </si>
  <si>
    <t>种草博主</t>
  </si>
  <si>
    <t>OELoop</t>
  </si>
  <si>
    <t>十音Shiyin</t>
  </si>
  <si>
    <t>生活日常</t>
  </si>
  <si>
    <t>开过小店 无销量 已退店</t>
  </si>
  <si>
    <t>逗川kshadow</t>
  </si>
  <si>
    <t>RAY的模型世界</t>
  </si>
  <si>
    <t>手办模型</t>
  </si>
  <si>
    <t>已建联，UP主暂未反馈</t>
  </si>
  <si>
    <t>方向一：UP主联动，人选：极速拍档，和咱们账号粉丝重合度超25%，可以联动做车模
方向二：B站联动，模型玩偶化，历史出镜模型做成可爱玩偶/盲盒等模式
方向三：账号IP的延伸，当前咱已有自己的品牌店铺在售卖做模型的工具，例如可以出模型工具套盒、工具书等
方向四：IP联名，这部分需要UP主有比较明确的意向IP，历史和B站合作授权过的IP（主游戏/动漫），平台可以撮合协助创意落地</t>
  </si>
  <si>
    <t>柳青瑶本尊</t>
  </si>
  <si>
    <t>吃货明3</t>
  </si>
  <si>
    <t>王咩阿</t>
  </si>
  <si>
    <t>田野上的繁荣</t>
  </si>
  <si>
    <t>内容全部清空</t>
  </si>
  <si>
    <t>非非宇Fay</t>
  </si>
  <si>
    <t>情景短剧</t>
  </si>
  <si>
    <t>水一大魔王</t>
  </si>
  <si>
    <t>画渣三查</t>
  </si>
  <si>
    <t>机智的Kason</t>
  </si>
  <si>
    <t>徐大虾咯</t>
  </si>
  <si>
    <t>Max哈正经</t>
  </si>
  <si>
    <t>昵称</t>
  </si>
  <si>
    <t>淘宝数据
（250224-260224）</t>
  </si>
  <si>
    <t>抖音数据
（250224-260224）</t>
  </si>
  <si>
    <t>相加</t>
  </si>
  <si>
    <t>站外</t>
  </si>
  <si>
    <t>华农兄弟</t>
  </si>
  <si>
    <t>Warma</t>
  </si>
  <si>
    <t>我是瑞斯拜</t>
  </si>
  <si>
    <t>差评君</t>
  </si>
  <si>
    <t>旁门左道PPT</t>
  </si>
  <si>
    <t>疆域阿力木</t>
  </si>
  <si>
    <t>FREE高考英语</t>
  </si>
  <si>
    <t>SERGEY谢尔盖</t>
  </si>
  <si>
    <t>龙腾虎跃龙兽医</t>
  </si>
  <si>
    <t>小黑课堂计算机二级</t>
  </si>
  <si>
    <t>悠悠球琛总</t>
  </si>
  <si>
    <t>马督工</t>
  </si>
  <si>
    <t>李志映画</t>
  </si>
  <si>
    <t>大嘴儿美食挠儿哥</t>
  </si>
  <si>
    <t>备胎说车</t>
  </si>
  <si>
    <t>凉哈皮</t>
  </si>
  <si>
    <t>刘逗逗不怎么逗</t>
  </si>
  <si>
    <t>马俐管家</t>
  </si>
  <si>
    <t>陆鳐LuLu</t>
  </si>
  <si>
    <t>大米评测</t>
  </si>
  <si>
    <t>一条闲木鱼</t>
  </si>
  <si>
    <t>pandapia熊猫乌托邦</t>
  </si>
  <si>
    <t>边牧陈贝拉</t>
  </si>
  <si>
    <t>医者正心</t>
  </si>
  <si>
    <t>逍飞free</t>
  </si>
  <si>
    <t>听风的蚕</t>
  </si>
  <si>
    <t>永雏塔菲</t>
  </si>
  <si>
    <t>大师的菜</t>
  </si>
  <si>
    <t>爱否科技FView</t>
  </si>
  <si>
    <t>致91岁的双胞胎</t>
  </si>
  <si>
    <t>鞑厨高寒</t>
  </si>
  <si>
    <t>渣叔爱酒</t>
  </si>
  <si>
    <t>小西设计所</t>
  </si>
  <si>
    <t>好奇五先生</t>
  </si>
  <si>
    <t>邓峰萌萌摔肿了</t>
  </si>
  <si>
    <t>平圆方中Lebannen</t>
  </si>
  <si>
    <t>思远glenindiv</t>
  </si>
  <si>
    <t>老隐记</t>
  </si>
  <si>
    <t>SPlusTech</t>
  </si>
  <si>
    <t>挑爷评美食</t>
  </si>
  <si>
    <t>戴夫健身</t>
  </si>
  <si>
    <t>元子弹吉他</t>
  </si>
  <si>
    <t>妙招姐</t>
  </si>
  <si>
    <t>超级战术频道HyperTacTV</t>
  </si>
  <si>
    <t>一点爱送温暖</t>
  </si>
  <si>
    <t>极地手记</t>
  </si>
  <si>
    <t>木羽说科技</t>
  </si>
  <si>
    <t>喜欢玩基金的小瑜哥</t>
  </si>
  <si>
    <t>酒友Tarot</t>
  </si>
  <si>
    <t>梦想家ALI</t>
  </si>
  <si>
    <t>利兄日志PPT</t>
  </si>
  <si>
    <t>意识DT</t>
  </si>
  <si>
    <t>赤石神殿</t>
  </si>
  <si>
    <t>Free从容</t>
  </si>
  <si>
    <t>苍小天然呆bb</t>
  </si>
  <si>
    <t>星际老男孩</t>
  </si>
  <si>
    <t>叔本聪</t>
  </si>
  <si>
    <t>小陈总啊</t>
  </si>
  <si>
    <t>花都兄弟</t>
  </si>
  <si>
    <t>蜜汁工坊</t>
  </si>
  <si>
    <t>爪子殿下</t>
  </si>
  <si>
    <t>独夫之心观天下</t>
  </si>
  <si>
    <t>米焙食验室</t>
  </si>
  <si>
    <t>星河坞</t>
  </si>
  <si>
    <t>燕麦行游</t>
  </si>
  <si>
    <t>派小爪</t>
  </si>
  <si>
    <t>酒心蛋糕_</t>
  </si>
  <si>
    <t>糖果兄弟糖果铺</t>
  </si>
  <si>
    <t>茶甜甜接班日记</t>
  </si>
  <si>
    <t>一只不平凡的猪哼哼</t>
  </si>
  <si>
    <t>阿亮的纪录片</t>
  </si>
  <si>
    <t>荷塘星星</t>
  </si>
  <si>
    <t>尹世传统糕点</t>
  </si>
  <si>
    <t>延边小杨一家</t>
  </si>
  <si>
    <t>阿峰小农家</t>
  </si>
  <si>
    <t>洛九三-</t>
  </si>
  <si>
    <t>荒野拾遗录</t>
  </si>
  <si>
    <t>醒醒来喝茶</t>
  </si>
  <si>
    <t>茶农王大鹏</t>
  </si>
  <si>
    <t>饭匹兄弟官方账号</t>
  </si>
  <si>
    <t>茶呆刘主任</t>
  </si>
  <si>
    <t>塘主孙果冻</t>
  </si>
  <si>
    <t>潮菜叶飞一日三餐</t>
  </si>
  <si>
    <t>茶叶鉴定狮</t>
  </si>
  <si>
    <t>茶茶有道理</t>
  </si>
  <si>
    <t>茶客得宝</t>
  </si>
  <si>
    <t>松栖茶叶小栖</t>
  </si>
  <si>
    <t>UP信息</t>
  </si>
  <si>
    <t>入驻进度</t>
  </si>
  <si>
    <t>UP分区</t>
  </si>
  <si>
    <t>up_mid</t>
  </si>
  <si>
    <t>粉丝量</t>
  </si>
  <si>
    <t>开环店铺名称</t>
  </si>
  <si>
    <t>是否百万粉+ 或 历史百大</t>
  </si>
  <si>
    <t>B站带货GMV量级</t>
  </si>
  <si>
    <t>店铺主要品类</t>
  </si>
  <si>
    <t>电商业务阶段</t>
  </si>
  <si>
    <t>优先级</t>
  </si>
  <si>
    <t>商家ID</t>
  </si>
  <si>
    <t>闭环店铺名称</t>
  </si>
  <si>
    <t>【拒绝】原因</t>
  </si>
  <si>
    <t>备注</t>
  </si>
  <si>
    <t>知识</t>
  </si>
  <si>
    <t>数易通官方旗舰店</t>
  </si>
  <si>
    <t>图书教育</t>
  </si>
  <si>
    <t>重要收入来源（超过50%）</t>
  </si>
  <si>
    <t>头部UP主客制化</t>
  </si>
  <si>
    <t>已入驻</t>
  </si>
  <si>
    <t>数易通图书专营店</t>
  </si>
  <si>
    <t>生活</t>
  </si>
  <si>
    <t>小潮tEam</t>
  </si>
  <si>
    <t>服装配饰</t>
  </si>
  <si>
    <t>试水做判断（有收入）</t>
  </si>
  <si>
    <t>科技</t>
  </si>
  <si>
    <t>稳定的收入来源之一（~30%））</t>
  </si>
  <si>
    <t>影视飓风商店</t>
  </si>
  <si>
    <t>她是火花旗舰店</t>
  </si>
  <si>
    <t>拒绝入驻</t>
  </si>
  <si>
    <t>宋浩老师小店</t>
  </si>
  <si>
    <t>雀室NestleHouse</t>
  </si>
  <si>
    <t>礼品文创</t>
  </si>
  <si>
    <t>美食</t>
  </si>
  <si>
    <t>日食记旗舰店</t>
  </si>
  <si>
    <t>食品</t>
  </si>
  <si>
    <t>日食记生活馆</t>
  </si>
  <si>
    <t>月亮兜兜</t>
  </si>
  <si>
    <t>影视</t>
  </si>
  <si>
    <t>小片片说大片片赣南脐橙果园直供</t>
  </si>
  <si>
    <t>食贫道 UnclePie</t>
  </si>
  <si>
    <t>食贫道 Unclepie</t>
  </si>
  <si>
    <t>游戏</t>
  </si>
  <si>
    <t>小小散兜</t>
  </si>
  <si>
    <t>小小散兜 LittleSandult</t>
  </si>
  <si>
    <t>美食作家王刚</t>
  </si>
  <si>
    <t>美食作家王刚R小店</t>
  </si>
  <si>
    <t>大漠叔叔</t>
  </si>
  <si>
    <t>漠叔海选</t>
  </si>
  <si>
    <t>泛式的泛卖屋</t>
  </si>
  <si>
    <t>不看好：观望/不投资源</t>
  </si>
  <si>
    <t>中国国家地理</t>
  </si>
  <si>
    <t>中国国家地理旗舰店</t>
  </si>
  <si>
    <t>老饭骨旗舰店/老饭骨</t>
  </si>
  <si>
    <t>老饭骨官方旗舰店</t>
  </si>
  <si>
    <t>努力的Lorre周边店</t>
  </si>
  <si>
    <t>沃玛养鸡场</t>
  </si>
  <si>
    <t>觅食小卖部</t>
  </si>
  <si>
    <t>我是瑞斯拜的英语店铺</t>
  </si>
  <si>
    <t>我是瑞斯拜的小店</t>
  </si>
  <si>
    <t>夏叔厨房</t>
  </si>
  <si>
    <t>优膳企业店</t>
  </si>
  <si>
    <t>祥哥的小店</t>
  </si>
  <si>
    <t>极客湾的店</t>
  </si>
  <si>
    <t>老爸评测会员店</t>
  </si>
  <si>
    <t>家居日用</t>
  </si>
  <si>
    <t>老爸测评的店</t>
  </si>
  <si>
    <t>特效小哥GOODS</t>
  </si>
  <si>
    <t>模玩手办</t>
  </si>
  <si>
    <t>特效小哥Goods</t>
  </si>
  <si>
    <t>运动</t>
  </si>
  <si>
    <t>Driotopia</t>
  </si>
  <si>
    <t>175万</t>
  </si>
  <si>
    <t>徐大王食品企业店</t>
  </si>
  <si>
    <t>徐大王食品旗舰店</t>
  </si>
  <si>
    <t>星球研究所</t>
  </si>
  <si>
    <t>好饭当当</t>
  </si>
  <si>
    <t>王小七全国水果严选</t>
  </si>
  <si>
    <t>汽车</t>
  </si>
  <si>
    <t>极速拍档Speedsters</t>
  </si>
  <si>
    <t>DEBUG THE WORLD</t>
  </si>
  <si>
    <t>迷因水母MEMEPOP</t>
  </si>
  <si>
    <t>三农</t>
  </si>
  <si>
    <t>帅农鸟哥的茶</t>
  </si>
  <si>
    <t>昌兴记茶叶旗舰店</t>
  </si>
  <si>
    <t>人文社科</t>
  </si>
  <si>
    <t>麻薯波比的两头堵小店</t>
  </si>
  <si>
    <t>技能包疆域阿力木</t>
  </si>
  <si>
    <t>曼食慢语旗舰店/曼食慢语严选店/whittard食品旗舰店</t>
  </si>
  <si>
    <t>FREENMET</t>
  </si>
  <si>
    <t>FREE NMET</t>
  </si>
  <si>
    <t>谢尔盖厨房</t>
  </si>
  <si>
    <t>甜露的杂七杂八</t>
  </si>
  <si>
    <t>orbitline轨迹线</t>
  </si>
  <si>
    <t>TESTV值不值得买</t>
  </si>
  <si>
    <t>3C数码</t>
  </si>
  <si>
    <t>每天水果优选</t>
  </si>
  <si>
    <t>水果猎人杨晓洋小店</t>
  </si>
  <si>
    <t>演员陆二喜</t>
  </si>
  <si>
    <t>陆二喜小店企业店</t>
  </si>
  <si>
    <t>乡绥食品店</t>
  </si>
  <si>
    <t>STN的道具库</t>
  </si>
  <si>
    <t>村驴土产</t>
  </si>
  <si>
    <t>村驴食品</t>
  </si>
  <si>
    <t>付费</t>
  </si>
  <si>
    <t>小黑课堂旗舰店</t>
  </si>
  <si>
    <t>中書門下</t>
  </si>
  <si>
    <t>西班牙陈挺</t>
  </si>
  <si>
    <t>Wmix 点心商店</t>
  </si>
  <si>
    <t>Wmix点心商店</t>
  </si>
  <si>
    <t>太行严选</t>
  </si>
  <si>
    <t>太行严选官方旗舰店</t>
  </si>
  <si>
    <t>定哥熊猫屋</t>
  </si>
  <si>
    <t>学丞图书旗舰店</t>
  </si>
  <si>
    <t>考研英语晓艳老师的店</t>
  </si>
  <si>
    <t>时尚</t>
  </si>
  <si>
    <t>zettaranc官方店铺</t>
  </si>
  <si>
    <t>Ray的国际烧烤摊</t>
  </si>
  <si>
    <t>澳洲牛肉大使Ray的小店</t>
  </si>
  <si>
    <t>爱画画的子衿</t>
  </si>
  <si>
    <t>马督工小卖部</t>
  </si>
  <si>
    <t>沟通入驻中</t>
  </si>
  <si>
    <t>卓叔瘦人增重店</t>
  </si>
  <si>
    <t>动画</t>
  </si>
  <si>
    <t>一颗柠檬宝</t>
  </si>
  <si>
    <t>李志映画的小店</t>
  </si>
  <si>
    <t>挠哥厨房</t>
  </si>
  <si>
    <t>挠儿哥熏酱熟食店</t>
  </si>
  <si>
    <t>挠儿哥铺子</t>
  </si>
  <si>
    <t>大物星选</t>
  </si>
  <si>
    <t>大物星选COLOSSUS</t>
  </si>
  <si>
    <t>备胎说车商城</t>
  </si>
  <si>
    <t>备胎说车自营小店</t>
  </si>
  <si>
    <t>美食强</t>
  </si>
  <si>
    <t>凉哈皮杂货铺</t>
  </si>
  <si>
    <t>凉哈皮的杂货铺</t>
  </si>
  <si>
    <t>沈奕斐</t>
  </si>
  <si>
    <t>王师傅和小毛毛</t>
  </si>
  <si>
    <t>风栖果语</t>
  </si>
  <si>
    <t>无用商店</t>
  </si>
  <si>
    <t>夏叔有好货</t>
  </si>
  <si>
    <t>龙馍馍</t>
  </si>
  <si>
    <t>动物圈</t>
  </si>
  <si>
    <t>泡芙集装箱</t>
  </si>
  <si>
    <t>城市猎人山猫</t>
  </si>
  <si>
    <t>山猫户外用品店</t>
  </si>
  <si>
    <t>种逗得逗DOUBLE DOU</t>
  </si>
  <si>
    <t>山个兄弟/山药视频/山竹师兄</t>
  </si>
  <si>
    <t>众合教育</t>
  </si>
  <si>
    <t>方圆众合旗舰店</t>
  </si>
  <si>
    <t>steam情报局</t>
  </si>
  <si>
    <t>阿伟的小店</t>
  </si>
  <si>
    <t>哆啦手艺贾</t>
  </si>
  <si>
    <t>Next Weekend 下周末</t>
  </si>
  <si>
    <t>Next Weekend下周末</t>
  </si>
  <si>
    <t>马俐管家清洁小屋</t>
  </si>
  <si>
    <t>二斤啦啦啦啦</t>
  </si>
  <si>
    <t>二斤和她的主机店</t>
  </si>
  <si>
    <t>滇西小哥/滇西小哥旗舰店</t>
  </si>
  <si>
    <t>滇西小哥旗舰店</t>
  </si>
  <si>
    <t>OliverWalsh</t>
  </si>
  <si>
    <t>OliverWalsh旗舰店</t>
  </si>
  <si>
    <t>冷风的水果小店</t>
  </si>
  <si>
    <t>寻味颂旗舰店</t>
  </si>
  <si>
    <t>寻味颂</t>
  </si>
  <si>
    <t>goodgod</t>
  </si>
  <si>
    <t>goodgod-auto的小店</t>
  </si>
  <si>
    <t>衣唱衣合</t>
  </si>
  <si>
    <t>闲海阁</t>
  </si>
  <si>
    <t>段小媳的小店</t>
  </si>
  <si>
    <t>结巴老爹小店</t>
  </si>
  <si>
    <t>劲小郑</t>
  </si>
  <si>
    <t>寻与拾</t>
  </si>
  <si>
    <t>农师傅的小店</t>
  </si>
  <si>
    <t>pandapia熊猫文创</t>
  </si>
  <si>
    <t>陈贝拉的小店</t>
  </si>
  <si>
    <t>钮祜禄-安舒</t>
  </si>
  <si>
    <t>舒舒窝吖</t>
  </si>
  <si>
    <t>TOBEFLY服饰</t>
  </si>
  <si>
    <t>3546564563831207</t>
  </si>
  <si>
    <t>烈隐旗舰店</t>
  </si>
  <si>
    <t>CherryNova</t>
  </si>
  <si>
    <t>微机分WekiHome</t>
  </si>
  <si>
    <t>微机分</t>
  </si>
  <si>
    <t>大师的菜食品企业店</t>
  </si>
  <si>
    <t>想想艺术工作室</t>
  </si>
  <si>
    <t>三餐食客的小店</t>
  </si>
  <si>
    <t>三餐食客</t>
  </si>
  <si>
    <t>稻草放毒</t>
  </si>
  <si>
    <t>爱否旗舰店</t>
  </si>
  <si>
    <t>爱否商城</t>
  </si>
  <si>
    <t>511644921</t>
  </si>
  <si>
    <t>萨古的奶茶计划</t>
  </si>
  <si>
    <t>猫后生</t>
  </si>
  <si>
    <t>猫后生食品专营店</t>
  </si>
  <si>
    <t>博主咖啡馆</t>
  </si>
  <si>
    <t>鲁菜行者</t>
  </si>
  <si>
    <t>师父和我做鲁菜</t>
  </si>
  <si>
    <t>鞑厨高寒杂货铺</t>
  </si>
  <si>
    <t>伟嘉gaara616</t>
  </si>
  <si>
    <t>Gastation嘉年华</t>
  </si>
  <si>
    <t>音乐</t>
  </si>
  <si>
    <t>趣弹乐器</t>
  </si>
  <si>
    <t>小渣爱酒</t>
  </si>
  <si>
    <t>老郭美食</t>
  </si>
  <si>
    <t>黑毛羊驼</t>
  </si>
  <si>
    <t>寰宇大千官方旗舰店</t>
  </si>
  <si>
    <t>匠人集</t>
  </si>
  <si>
    <t>鹏城杰森</t>
  </si>
  <si>
    <t>杰森的小店</t>
  </si>
  <si>
    <t>LORIII阿姨</t>
  </si>
  <si>
    <t>老瑞的小店</t>
  </si>
  <si>
    <t>尔聪目明station</t>
  </si>
  <si>
    <t>罗兰朵女士</t>
  </si>
  <si>
    <t>朵兰采薇</t>
  </si>
  <si>
    <t>德国人Leo乐柏说</t>
  </si>
  <si>
    <t>真德宝</t>
  </si>
  <si>
    <t>五先生奇货铺</t>
  </si>
  <si>
    <t>GoldenTales金故生骨肉/spene星帮尼旗舰店/金故GoldenTales/金故旗舰店/GoldenTales金故</t>
  </si>
  <si>
    <t>金故GoldenTales旗舰店</t>
  </si>
  <si>
    <t>奔放的小豆豆吖</t>
  </si>
  <si>
    <t>奔放的小豆豆</t>
  </si>
  <si>
    <t>平圆方中PYFZ</t>
  </si>
  <si>
    <t>平圆方中Lebannen自营</t>
  </si>
  <si>
    <t>直男文史课</t>
  </si>
  <si>
    <t>直男哥的店</t>
  </si>
  <si>
    <t>哈仔十一</t>
  </si>
  <si>
    <t>蓝汪汪精选</t>
  </si>
  <si>
    <t>脑洞部长</t>
  </si>
  <si>
    <t>NDBZ</t>
  </si>
  <si>
    <t>I彭传明</t>
  </si>
  <si>
    <t>彭传明</t>
  </si>
  <si>
    <t>LATRGATR</t>
  </si>
  <si>
    <t>老隐记官方旗舰店</t>
  </si>
  <si>
    <t>馆店旗舰店</t>
  </si>
  <si>
    <t>饱拾</t>
  </si>
  <si>
    <t>亚军频道</t>
  </si>
  <si>
    <t>亚军频道JunProject</t>
  </si>
  <si>
    <t>亚军频道的小店</t>
  </si>
  <si>
    <t>厚大教育</t>
  </si>
  <si>
    <t>厚大教育旗舰店</t>
  </si>
  <si>
    <t>雁鸿工作室</t>
  </si>
  <si>
    <t>喵来啦_</t>
  </si>
  <si>
    <t>MLL5</t>
  </si>
  <si>
    <t>品味新疆</t>
  </si>
  <si>
    <t>时令心疆特产小店</t>
  </si>
  <si>
    <t>二老师原创</t>
  </si>
  <si>
    <t>尚江茶场</t>
  </si>
  <si>
    <t>3493133646040009</t>
  </si>
  <si>
    <t>道道总是睡不着</t>
  </si>
  <si>
    <t>程序员鱼皮</t>
  </si>
  <si>
    <t>编程导航</t>
  </si>
  <si>
    <t>鸟山学长</t>
  </si>
  <si>
    <t>鸟山学长的小店</t>
  </si>
  <si>
    <t>李天意Providence</t>
  </si>
  <si>
    <t>乔尔diu</t>
  </si>
  <si>
    <t>乔尔的桌搭小铺</t>
  </si>
  <si>
    <t>天元-邓刚</t>
  </si>
  <si>
    <t>数学建模老哥</t>
  </si>
  <si>
    <t>正极旗舰店</t>
  </si>
  <si>
    <t>正极商店</t>
  </si>
  <si>
    <t>石咕咕恰饭店</t>
  </si>
  <si>
    <t>TenGuSan</t>
  </si>
  <si>
    <t>UnDeR20</t>
  </si>
  <si>
    <t>3493257409464519</t>
  </si>
  <si>
    <t>骆驼新星</t>
  </si>
  <si>
    <t>天山谷园</t>
  </si>
  <si>
    <t>天山谷园/和田市绿茵场骆驼食</t>
  </si>
  <si>
    <t>老疯杨旗舰店/老疯杨生产队/老疯杨天兴桥</t>
  </si>
  <si>
    <t>老疯杨旗舰店</t>
  </si>
  <si>
    <t>挑爷文创</t>
  </si>
  <si>
    <t>三星GALAXY盖乐世</t>
  </si>
  <si>
    <t>三星官方旗舰店</t>
  </si>
  <si>
    <t>极客鞋谈官方店铺</t>
  </si>
  <si>
    <t>江协科技</t>
  </si>
  <si>
    <t>鬼畜</t>
  </si>
  <si>
    <t>优酸乳</t>
  </si>
  <si>
    <t>伊利旗舰店</t>
  </si>
  <si>
    <t>元子吉他教室</t>
  </si>
  <si>
    <t>钳子拯救没胃口</t>
  </si>
  <si>
    <t>探索吧芋圆</t>
  </si>
  <si>
    <t>我叫大头雨不愁</t>
  </si>
  <si>
    <t>古叔的着GullsLife 复古男装店</t>
  </si>
  <si>
    <t>古叔的着GullSlife复古男装店</t>
  </si>
  <si>
    <t>超级战术频道Hypertac TV</t>
  </si>
  <si>
    <t>去种田的向凹凸</t>
  </si>
  <si>
    <t>向大师户外旗舰店</t>
  </si>
  <si>
    <t>序77</t>
  </si>
  <si>
    <t>序77的衣柜</t>
  </si>
  <si>
    <t>野居青年</t>
  </si>
  <si>
    <t>彪哥火腿</t>
  </si>
  <si>
    <t>一点爱土特产</t>
  </si>
  <si>
    <t>木羽集市</t>
  </si>
  <si>
    <t>木羽说科技的小店</t>
  </si>
  <si>
    <t>影石Insta360</t>
  </si>
  <si>
    <t>影石Insta360旗舰店</t>
  </si>
  <si>
    <t>鱼鸽严选</t>
  </si>
  <si>
    <t>海蒂的花园旗舰店</t>
  </si>
  <si>
    <t>噜咪啦官方</t>
  </si>
  <si>
    <t>噜咪啦旗舰店</t>
  </si>
  <si>
    <t>桃派对 北京</t>
  </si>
  <si>
    <t>内在小银河</t>
  </si>
  <si>
    <t>餐饮研究员王刚</t>
  </si>
  <si>
    <t>烧毁一切就是美</t>
  </si>
  <si>
    <t>秋檬特</t>
  </si>
  <si>
    <t>西西零壹电竞</t>
  </si>
  <si>
    <t>3493079208168355</t>
  </si>
  <si>
    <t>电丸科技AK</t>
  </si>
  <si>
    <t>电丸科技</t>
  </si>
  <si>
    <t>大问题Dialectic</t>
  </si>
  <si>
    <t>大家的养分</t>
  </si>
  <si>
    <t>蒲江老表果园</t>
  </si>
  <si>
    <t>赤石神殿的小店</t>
  </si>
  <si>
    <t>从容吉他教室</t>
  </si>
  <si>
    <t>高冷的吉他铺</t>
  </si>
  <si>
    <t>李福贵1</t>
  </si>
  <si>
    <t>星际老男孩电竞店SCBOY</t>
  </si>
  <si>
    <t>香你个鬼</t>
  </si>
  <si>
    <t>Mr.Quin</t>
  </si>
  <si>
    <t>摸鱼禁止</t>
  </si>
  <si>
    <t>装机侠林BB</t>
  </si>
  <si>
    <t>装机侠林BB装机店</t>
  </si>
  <si>
    <t>亿级</t>
  </si>
  <si>
    <t>SAGESALT</t>
  </si>
  <si>
    <t>3494374866422374</t>
  </si>
  <si>
    <t>再次进击的白小莹</t>
  </si>
  <si>
    <t>莹大当家的店</t>
  </si>
  <si>
    <t>北大荒绿森林放鹿人</t>
  </si>
  <si>
    <t>3461562192890614</t>
  </si>
  <si>
    <t>浪浪仙有机生活</t>
  </si>
  <si>
    <t>小陈总的小店</t>
  </si>
  <si>
    <t>啊我的脚趾</t>
  </si>
  <si>
    <t>啊我的脚趾/太空奇遇</t>
  </si>
  <si>
    <t>索菲亚一斤半</t>
  </si>
  <si>
    <t>斤斤饮酒社</t>
  </si>
  <si>
    <t>花都农场</t>
  </si>
  <si>
    <t>欣宸大海工作室</t>
  </si>
  <si>
    <t>JG军哥很认真</t>
  </si>
  <si>
    <t>OVERHABIT官方旗舰店</t>
  </si>
  <si>
    <t>飞恋伞厂</t>
  </si>
  <si>
    <t>飞恋雨具</t>
  </si>
  <si>
    <t>陈随便778</t>
  </si>
  <si>
    <t>希灵食品店</t>
  </si>
  <si>
    <t>健人鑫</t>
  </si>
  <si>
    <t>健人鑫的小店</t>
  </si>
  <si>
    <t>我是野农</t>
  </si>
  <si>
    <t>向大师旗舰店</t>
  </si>
  <si>
    <t>盲人母亲曹世美</t>
  </si>
  <si>
    <t>三无公社</t>
  </si>
  <si>
    <t>骑士网官方频道</t>
  </si>
  <si>
    <t>骑士网</t>
  </si>
  <si>
    <t>原先森茶酒屋</t>
  </si>
  <si>
    <t>小吴学长啊</t>
  </si>
  <si>
    <t>力学渣</t>
  </si>
  <si>
    <t>好人好食</t>
  </si>
  <si>
    <t>266775885</t>
  </si>
  <si>
    <t>糗糗庄园</t>
  </si>
  <si>
    <t>乡野子威</t>
  </si>
  <si>
    <t>三颗葱啊</t>
  </si>
  <si>
    <t>躺水_</t>
  </si>
  <si>
    <t>躺水家</t>
  </si>
  <si>
    <t>小杜的日记</t>
  </si>
  <si>
    <t>杜叔叔甜品店</t>
  </si>
  <si>
    <t>杜叔叔的店</t>
  </si>
  <si>
    <t>3546579155815297</t>
  </si>
  <si>
    <t>炊哥不加戏</t>
  </si>
  <si>
    <t>蒙山地锅炒鸡</t>
  </si>
  <si>
    <t>沂蒙山特产</t>
  </si>
  <si>
    <t>乡野欢子</t>
  </si>
  <si>
    <t>渔农小池</t>
  </si>
  <si>
    <t>普粤优选</t>
  </si>
  <si>
    <t>粤代优选</t>
  </si>
  <si>
    <t>第三方评测</t>
  </si>
  <si>
    <t>233网校官方账号</t>
  </si>
  <si>
    <t>233官方教育旗舰店</t>
  </si>
  <si>
    <t>3493297320364881</t>
  </si>
  <si>
    <t>韶关渝哥</t>
  </si>
  <si>
    <t>渝大强的小店</t>
  </si>
  <si>
    <t>清山茶事</t>
  </si>
  <si>
    <t>俄罗斯田园猫</t>
  </si>
  <si>
    <t>那曲拉姆</t>
  </si>
  <si>
    <t>民族特产馆</t>
  </si>
  <si>
    <t>派小爪百货屋</t>
  </si>
  <si>
    <t>派小爪旗舰店</t>
  </si>
  <si>
    <t>思乡渔夫</t>
  </si>
  <si>
    <t>老弟环游记</t>
  </si>
  <si>
    <t>老弟海淘</t>
  </si>
  <si>
    <t>3493265269590447</t>
  </si>
  <si>
    <t>海露滴眼液</t>
  </si>
  <si>
    <t>海露官方旗舰店</t>
  </si>
  <si>
    <t>叶子的茶生活</t>
  </si>
  <si>
    <t>叶子的茶</t>
  </si>
  <si>
    <t>酒心Jiuxin Couture定制小铺</t>
  </si>
  <si>
    <t>3493134996605268</t>
  </si>
  <si>
    <t>抓紧长长长呀</t>
  </si>
  <si>
    <t>长长长水果店</t>
  </si>
  <si>
    <t>是垃圾佬小柯呀</t>
  </si>
  <si>
    <t>柯明DIY小店</t>
  </si>
  <si>
    <t>干饭兄弟-官方账号</t>
  </si>
  <si>
    <t>湘集</t>
  </si>
  <si>
    <t>一波说酒</t>
  </si>
  <si>
    <t>无所尉吃什么</t>
  </si>
  <si>
    <t>斗师傅好茶</t>
  </si>
  <si>
    <t>万今茶叶</t>
  </si>
  <si>
    <t>万今生态茶叶</t>
  </si>
  <si>
    <t>斗功夫茶叶厂家直供</t>
  </si>
  <si>
    <t>糖果兄弟</t>
  </si>
  <si>
    <t>牧民达西</t>
  </si>
  <si>
    <t>游牧之星食品店</t>
  </si>
  <si>
    <t>3493138387699886</t>
  </si>
  <si>
    <t>山野农夫高山农场</t>
  </si>
  <si>
    <t>建康啊</t>
  </si>
  <si>
    <t>云南山师傅</t>
  </si>
  <si>
    <t>锦囊妙茶旗舰店</t>
  </si>
  <si>
    <t>茶甜甜旗舰店</t>
  </si>
  <si>
    <t>边牧追风</t>
  </si>
  <si>
    <t>疯葫芦宠物零食魔法屋</t>
  </si>
  <si>
    <t>菠萝咖啡成子</t>
  </si>
  <si>
    <t>菠萝咖啡成子 BROWCOFFEE</t>
  </si>
  <si>
    <t>真吃货老白</t>
  </si>
  <si>
    <t>王傲天的修仙日常</t>
  </si>
  <si>
    <t>傲天好物精选</t>
  </si>
  <si>
    <t>石金水小店</t>
  </si>
  <si>
    <t>阿亮的小店</t>
  </si>
  <si>
    <t>星辰竹鼠</t>
  </si>
  <si>
    <t>民工小代</t>
  </si>
  <si>
    <t>代辉香油坊</t>
  </si>
  <si>
    <t>郭天祥老师</t>
  </si>
  <si>
    <t>荷塘星星的精选小店up湖南脐橙</t>
  </si>
  <si>
    <t>胖娃老四</t>
  </si>
  <si>
    <t>盖隐技术GainTachnic</t>
  </si>
  <si>
    <t>Gain盖隐技术</t>
  </si>
  <si>
    <t>客岭苹果</t>
  </si>
  <si>
    <t>老万说草</t>
  </si>
  <si>
    <t>水熊阁老万说草传统滋补小店</t>
  </si>
  <si>
    <t>萱草daylily</t>
  </si>
  <si>
    <t>萱草的集合店</t>
  </si>
  <si>
    <t>尹昔眠</t>
  </si>
  <si>
    <t>尹昔眠的小店</t>
  </si>
  <si>
    <t>3546610371922554</t>
  </si>
  <si>
    <t>发疯发疯了</t>
  </si>
  <si>
    <t>刘大师兄笔记本维修</t>
  </si>
  <si>
    <t>大师兄散热</t>
  </si>
  <si>
    <t>JIUQIANSHUODAO</t>
  </si>
  <si>
    <t>MVP鱼重生之我在卖手电</t>
  </si>
  <si>
    <t>钟澄科研论</t>
  </si>
  <si>
    <t>研闻科研</t>
  </si>
  <si>
    <t>3546804383648339</t>
  </si>
  <si>
    <t>茶薇薇有好茶</t>
  </si>
  <si>
    <t>TEAWEWE 茶薇薇有好茶</t>
  </si>
  <si>
    <t>茶薇薇</t>
  </si>
  <si>
    <t>3546751292148370</t>
  </si>
  <si>
    <t>春野晴木</t>
  </si>
  <si>
    <t>感觉至上 sense supreme</t>
  </si>
  <si>
    <t>织造司</t>
  </si>
  <si>
    <t>AI归来</t>
  </si>
  <si>
    <t>AI归来考研</t>
  </si>
  <si>
    <t>百草大叔</t>
  </si>
  <si>
    <t>喜欢就买JustBuy</t>
  </si>
  <si>
    <t>喜欢就买JustBuy 整机店</t>
  </si>
  <si>
    <t>3493082775423387</t>
  </si>
  <si>
    <t>宇凡聊学术</t>
  </si>
  <si>
    <t>Ace爱斯</t>
  </si>
  <si>
    <t>GTAL线上商店</t>
  </si>
  <si>
    <t>3546661064280077</t>
  </si>
  <si>
    <t>惠老板和鸵鸟</t>
  </si>
  <si>
    <t>鸵飞飞小店</t>
  </si>
  <si>
    <t>3493280876595440</t>
  </si>
  <si>
    <t>科学捡漏</t>
  </si>
  <si>
    <t>科学捡漏杂货铺</t>
  </si>
  <si>
    <t>农民新八</t>
  </si>
  <si>
    <t>通用针织器材淘宝店/新八店铺</t>
  </si>
  <si>
    <t>骑马与砍杀中文站</t>
  </si>
  <si>
    <t>思敏数码专营店</t>
  </si>
  <si>
    <t>洋桃电子</t>
  </si>
  <si>
    <t>杜洋工作室</t>
  </si>
  <si>
    <t>记录生活的肆一</t>
  </si>
  <si>
    <t>肆一的小店</t>
  </si>
  <si>
    <t>哈士奇的警犬梦</t>
  </si>
  <si>
    <t>恰坨子咯</t>
  </si>
  <si>
    <t>季沣安格斯原切牛肉干</t>
  </si>
  <si>
    <t>3546693771463386</t>
  </si>
  <si>
    <t>蔬菜研究院</t>
  </si>
  <si>
    <t>盛园禾大樱桃车厘子果树苗木店</t>
  </si>
  <si>
    <t>大康评测</t>
  </si>
  <si>
    <t>小皮葡萄酒讲堂</t>
  </si>
  <si>
    <t>葡小皮葡萄酒旗舰店</t>
  </si>
  <si>
    <t>喻老考研数学</t>
  </si>
  <si>
    <t>经验超市考研</t>
  </si>
  <si>
    <t>ENP肖叁氪</t>
  </si>
  <si>
    <t>ENPofficial</t>
  </si>
  <si>
    <t>宋少弘</t>
  </si>
  <si>
    <t>宋少弘的小铺</t>
  </si>
  <si>
    <t>海绵MBA</t>
  </si>
  <si>
    <t>MBAMPAMPACC教育旗舰店</t>
  </si>
  <si>
    <t>福饮沸别</t>
  </si>
  <si>
    <t>如花一枝花花</t>
  </si>
  <si>
    <t>keysking</t>
  </si>
  <si>
    <t>波特律动</t>
  </si>
  <si>
    <t>GameSir盖世小鸡官方</t>
  </si>
  <si>
    <t>盖世小鸡旗舰店</t>
  </si>
  <si>
    <t>Sjrun汲润丝袜</t>
  </si>
  <si>
    <t>汲润 Sjrun</t>
  </si>
  <si>
    <t>姚蔚铭</t>
  </si>
  <si>
    <t>匠衣铭作</t>
  </si>
  <si>
    <t>建筑学长</t>
  </si>
  <si>
    <t>超格公考</t>
  </si>
  <si>
    <t>超格教育旗舰店</t>
  </si>
  <si>
    <t>科技数码</t>
  </si>
  <si>
    <t>81240780</t>
  </si>
  <si>
    <t>军武白板</t>
  </si>
  <si>
    <t>吾味茶叶店</t>
  </si>
  <si>
    <t>老杨的装机小店</t>
  </si>
  <si>
    <t>才不是木木</t>
  </si>
  <si>
    <t>木之窝/木木乐园营业中</t>
  </si>
  <si>
    <t>牛小咖</t>
  </si>
  <si>
    <t>牛小咖 Mumamoo小牛咖园</t>
  </si>
  <si>
    <t>猫哥揾食</t>
  </si>
  <si>
    <t>吃经</t>
  </si>
  <si>
    <t>鲜蜂优选</t>
  </si>
  <si>
    <t>文运法硕培训</t>
  </si>
  <si>
    <t>文运法硕旗舰店</t>
  </si>
  <si>
    <t>金牌厨师张</t>
  </si>
  <si>
    <t>橘野</t>
  </si>
  <si>
    <t>A子如是说</t>
  </si>
  <si>
    <t>SIRINLABS希林实验室</t>
  </si>
  <si>
    <t>3546372991093107</t>
  </si>
  <si>
    <t>PPT教练小木</t>
  </si>
  <si>
    <t>木友圈PPT课堂</t>
  </si>
  <si>
    <t>3546792562002627</t>
  </si>
  <si>
    <t>淘宝秒杀</t>
  </si>
  <si>
    <t>天天特卖工厂</t>
  </si>
  <si>
    <t>BACKTHRUST回马枪</t>
  </si>
  <si>
    <t>回马枪防务</t>
  </si>
  <si>
    <t>Razer雷蛇</t>
  </si>
  <si>
    <t>雷蛇官方旗舰店</t>
  </si>
  <si>
    <t>我是18爸爸</t>
  </si>
  <si>
    <t>WITHSUUGAR</t>
  </si>
  <si>
    <t>野火电子官方</t>
  </si>
  <si>
    <t>野火数码旗舰店</t>
  </si>
  <si>
    <t>小梁不胖_</t>
  </si>
  <si>
    <t>SHIJOIN</t>
  </si>
  <si>
    <t>3493116935932108</t>
  </si>
  <si>
    <t>肉仔肉仔肉</t>
  </si>
  <si>
    <t>橘橘的摊摊</t>
  </si>
  <si>
    <t>舍茶建乡</t>
  </si>
  <si>
    <t>岩居九曲</t>
  </si>
  <si>
    <t>梁源AKA包大师</t>
  </si>
  <si>
    <t>陈规stereotype</t>
  </si>
  <si>
    <t>No_Need_Indeed</t>
  </si>
  <si>
    <t>No Need Indeed(NNID)</t>
  </si>
  <si>
    <t>夏小荷装机馆</t>
  </si>
  <si>
    <t>珠农老钱</t>
  </si>
  <si>
    <t>韦东山</t>
  </si>
  <si>
    <t>韦东山旗舰店</t>
  </si>
  <si>
    <t>小镇阿橙</t>
  </si>
  <si>
    <t>阿橙优选</t>
  </si>
  <si>
    <t>深蓝PMS662</t>
  </si>
  <si>
    <t>深蓝的树叶铺子</t>
  </si>
  <si>
    <t>阿凯又去拍照了</t>
  </si>
  <si>
    <t>阿凯又去拍照了/有点意思的店铺</t>
  </si>
  <si>
    <t>3546679743613248</t>
  </si>
  <si>
    <t>杏子不懂性</t>
  </si>
  <si>
    <t>杏学研究所</t>
  </si>
  <si>
    <t>山竹师兄</t>
  </si>
  <si>
    <t>安德不翻车</t>
  </si>
  <si>
    <t>皂时光麦子</t>
  </si>
  <si>
    <t>皂时光</t>
  </si>
  <si>
    <t>小贾今天穿什么</t>
  </si>
  <si>
    <t>CCD自由商店</t>
  </si>
  <si>
    <t>爱摸鱼的蒋某人</t>
  </si>
  <si>
    <t>蒋某人的装机小店/欧丹瑾电脑</t>
  </si>
  <si>
    <t>21世纪农业</t>
  </si>
  <si>
    <t>无痕测车</t>
  </si>
  <si>
    <t>无痕自营店</t>
  </si>
  <si>
    <t>3494376420411846</t>
  </si>
  <si>
    <t>COC星梨奈</t>
  </si>
  <si>
    <t>COC成人用品旗舰店</t>
  </si>
  <si>
    <t>玛莎拉丁文丶</t>
  </si>
  <si>
    <t>PKLstudio</t>
  </si>
  <si>
    <t>小酥小生活</t>
  </si>
  <si>
    <t>苏苏甄选S</t>
  </si>
  <si>
    <t>元气阿七</t>
  </si>
  <si>
    <t>小熊女装馆</t>
  </si>
  <si>
    <t>丹哥和弟儿</t>
  </si>
  <si>
    <t>留白电脑装机大手留白</t>
  </si>
  <si>
    <t>留白电脑企业店</t>
  </si>
  <si>
    <t>刘志强钓鱼</t>
  </si>
  <si>
    <t>Gooddnesss</t>
  </si>
  <si>
    <t>百机</t>
  </si>
  <si>
    <t>潮发型宝哥</t>
  </si>
  <si>
    <t>潮发型宝哥/朵陌染发</t>
  </si>
  <si>
    <t>郭大吉的日常</t>
  </si>
  <si>
    <t>老花医</t>
  </si>
  <si>
    <t>老花医自营店</t>
  </si>
  <si>
    <t>老六是大狼狗</t>
  </si>
  <si>
    <t>小道八良</t>
  </si>
  <si>
    <t>小道八良的茶</t>
  </si>
  <si>
    <t>烟台的苹果哥</t>
  </si>
  <si>
    <t>娱乐</t>
  </si>
  <si>
    <t>3493115585366893</t>
  </si>
  <si>
    <t>老罗很彪悍</t>
  </si>
  <si>
    <t>五虎茶叶旗舰店</t>
  </si>
  <si>
    <t>三个损友友</t>
  </si>
  <si>
    <t>三个损友</t>
  </si>
  <si>
    <t>MACHENIKE机械师</t>
  </si>
  <si>
    <t>机械师（MACHENIKE）旗舰店</t>
  </si>
  <si>
    <t>老洛不爱笑</t>
  </si>
  <si>
    <t>弎狸 TIP</t>
  </si>
  <si>
    <t>M仔STORY</t>
  </si>
  <si>
    <t>好好Meat小店</t>
  </si>
  <si>
    <t>好好Meat小店/厚厚meat</t>
  </si>
  <si>
    <t>胖团来了</t>
  </si>
  <si>
    <t>胖团来了4号店</t>
  </si>
  <si>
    <t>魔法少女WiFi酱</t>
  </si>
  <si>
    <t>cia110</t>
  </si>
  <si>
    <t>洛九三茶果园</t>
  </si>
  <si>
    <t>洛九三小铺</t>
  </si>
  <si>
    <t>成溪的试验田</t>
  </si>
  <si>
    <t>上海小马哥Max</t>
  </si>
  <si>
    <t>上海小马哥文创馆</t>
  </si>
  <si>
    <t>绿手指有机农园</t>
  </si>
  <si>
    <t>大梅小镇</t>
  </si>
  <si>
    <t>大梅川子小店</t>
  </si>
  <si>
    <t>陈更新不常更新</t>
  </si>
  <si>
    <t>SIIIEND</t>
  </si>
  <si>
    <t>百万骑行装备</t>
  </si>
  <si>
    <t>百万骑行装备/百万机车装备</t>
  </si>
  <si>
    <t>w阿怪在搞什么毛线</t>
  </si>
  <si>
    <t>织造物语Yarn Yarns</t>
  </si>
  <si>
    <t>暗区猎人_厨窗进阶</t>
  </si>
  <si>
    <t>澜朋友工作室</t>
  </si>
  <si>
    <t>我是丰海</t>
  </si>
  <si>
    <t>TrigCo</t>
  </si>
  <si>
    <t>GearKr</t>
  </si>
  <si>
    <t>微笑的二大爷_</t>
  </si>
  <si>
    <t>你买之前问问我</t>
  </si>
  <si>
    <t>龙邦二奢杜姐</t>
  </si>
  <si>
    <t>龙邦名品箱包</t>
  </si>
  <si>
    <t>龙邦名品二手奢侈品</t>
  </si>
  <si>
    <t>醒醒来喝茶的茶叶店</t>
  </si>
  <si>
    <t>EMOPET1</t>
  </si>
  <si>
    <t>EMOPET/宙物AI机器人</t>
  </si>
  <si>
    <t>蓝曳-伪妆大师</t>
  </si>
  <si>
    <t>伪妆大师进化论</t>
  </si>
  <si>
    <t>战术罐头ReviewVideo</t>
  </si>
  <si>
    <t>阿卷耳</t>
  </si>
  <si>
    <t>沉默家的衣橱</t>
  </si>
  <si>
    <t>s中和</t>
  </si>
  <si>
    <t>大咖出品 专注10年</t>
  </si>
  <si>
    <t>盗月社高饱饱</t>
  </si>
  <si>
    <t>3546876135606630</t>
  </si>
  <si>
    <t>长白林海-跑山人</t>
  </si>
  <si>
    <t>程昊vlog</t>
  </si>
  <si>
    <t>灰鸥精酿</t>
  </si>
  <si>
    <t>全是干货的大胖鸽</t>
  </si>
  <si>
    <t>VENTURE TNG</t>
  </si>
  <si>
    <t>3546607389772490</t>
  </si>
  <si>
    <t>木唠唠</t>
  </si>
  <si>
    <t>野人老师</t>
  </si>
  <si>
    <t>野人软考教育学院</t>
  </si>
  <si>
    <t>old杨的幸福生活</t>
  </si>
  <si>
    <t>Kami anger(井000000)</t>
  </si>
  <si>
    <t>Trent带你学硬件</t>
  </si>
  <si>
    <t>硬创学堂Trent带你学硬件</t>
  </si>
  <si>
    <t>乡野志刚</t>
  </si>
  <si>
    <t>不墨迹真测评</t>
  </si>
  <si>
    <t>名模坤-</t>
  </si>
  <si>
    <t>麻辣长高山寻鲜记</t>
  </si>
  <si>
    <t>麻厨长高山寻鲜记</t>
  </si>
  <si>
    <t>手工</t>
  </si>
  <si>
    <t>老囤物屁</t>
  </si>
  <si>
    <t>老囤物屁的小店</t>
  </si>
  <si>
    <t>船长阿福Phoozie</t>
  </si>
  <si>
    <t>边境阿呱</t>
  </si>
  <si>
    <t>阿呱助农个体店</t>
  </si>
  <si>
    <t>饭匹兄弟旗舰店</t>
  </si>
  <si>
    <t>饭匹兄弟食品旗舰店</t>
  </si>
  <si>
    <t>渊海茶访-茶呆刘主任的私房茶</t>
  </si>
  <si>
    <t>渊海茶坊 茶呆刘主任的私房茶</t>
  </si>
  <si>
    <t>黄满多</t>
  </si>
  <si>
    <t>黄满多生态园</t>
  </si>
  <si>
    <t>潮菜叶飞</t>
  </si>
  <si>
    <t>潮菜叶飞专卖店</t>
  </si>
  <si>
    <t>Koala聊开源</t>
  </si>
  <si>
    <t>Koala聊开源的小店</t>
  </si>
  <si>
    <t>碧根果教授</t>
  </si>
  <si>
    <t>果教授自营小店</t>
  </si>
  <si>
    <t>碧根果教授科研小店</t>
  </si>
  <si>
    <t>茶居友人-凤凰单丛</t>
  </si>
  <si>
    <t>叶茗川茶叶小杨姐</t>
  </si>
  <si>
    <t>叶茗川茶叶</t>
  </si>
  <si>
    <t>山礼走地鸡</t>
  </si>
  <si>
    <t>苏南下</t>
  </si>
  <si>
    <t>苏南下的小店</t>
  </si>
  <si>
    <t>玩咖研究所</t>
  </si>
  <si>
    <t>松栖茶叶</t>
  </si>
  <si>
    <t>油腻的宇哥</t>
  </si>
  <si>
    <t>油腻的宇哥的小店</t>
  </si>
  <si>
    <t>不羡馆主</t>
  </si>
  <si>
    <t>不羡茶时的茶店</t>
  </si>
  <si>
    <t>一饮江山茶杨先生</t>
  </si>
  <si>
    <t>一饮江山茶</t>
  </si>
  <si>
    <t>无用君he普洱茶</t>
  </si>
  <si>
    <t>无用君严选普洱茶店</t>
  </si>
  <si>
    <t>3546655058037690</t>
  </si>
  <si>
    <t>成熟蜂蜜一大小勇</t>
  </si>
  <si>
    <t>汾河蜜蜂养殖专业合作社</t>
  </si>
  <si>
    <t>3546384609314975</t>
  </si>
  <si>
    <t>古越龙山官方</t>
  </si>
  <si>
    <t>古越龙山官方旗舰店</t>
  </si>
  <si>
    <t>小怡说茶</t>
  </si>
  <si>
    <t>小怡的茶生活</t>
  </si>
  <si>
    <t>空卡空卡空空卡</t>
  </si>
  <si>
    <t>九方考研</t>
  </si>
  <si>
    <t>空卡空卡空空卡的小店</t>
  </si>
  <si>
    <t>水论文的程序猿-水导</t>
  </si>
  <si>
    <t>水导的杂货店</t>
  </si>
  <si>
    <t>历史调研信息</t>
  </si>
  <si>
    <t>up_name</t>
  </si>
  <si>
    <t>品牌全平台总GMV</t>
  </si>
  <si>
    <t>B站带货年GMV</t>
  </si>
  <si>
    <t>是否客制化</t>
  </si>
  <si>
    <t>是否已开店？</t>
  </si>
  <si>
    <t>是否动销？</t>
  </si>
  <si>
    <t>运营</t>
  </si>
  <si>
    <t>是否重点跟进</t>
  </si>
  <si>
    <t>是否重点跟进：原因标注</t>
  </si>
  <si>
    <t>1011【未入驻】原因</t>
  </si>
  <si>
    <t>89522842</t>
  </si>
  <si>
    <t>非客制化商品</t>
  </si>
  <si>
    <t>1410424517</t>
  </si>
  <si>
    <t>穆糖纯纯纯</t>
  </si>
  <si>
    <t>历历载穆</t>
  </si>
  <si>
    <t>未能有效建联到，微信电话多次尝试不回消息/不接电话； 抖音为直播带货珠宝玉石，同海东鉴宝</t>
  </si>
  <si>
    <t>3546720654855118</t>
  </si>
  <si>
    <t>酱总家的山村美味</t>
  </si>
  <si>
    <t>瑾贝生鲜企业店</t>
  </si>
  <si>
    <t>402361670</t>
  </si>
  <si>
    <t>豆豆_Babe</t>
  </si>
  <si>
    <t>豆大哥的漂亮店</t>
  </si>
  <si>
    <t>个护美妆</t>
  </si>
  <si>
    <t>12855005</t>
  </si>
  <si>
    <t>低潜力，无客制化商品有分销货源；断更3月，首次沟通后消息未回</t>
  </si>
  <si>
    <t>526394261</t>
  </si>
  <si>
    <t>橙啦石雷鹏老师</t>
  </si>
  <si>
    <t>橙啦教育旗舰店</t>
  </si>
  <si>
    <t>12519751</t>
  </si>
  <si>
    <t>香水经销商，没有自己的客制化商，不跟进</t>
  </si>
  <si>
    <t>2029306</t>
  </si>
  <si>
    <t>-评头论足-</t>
  </si>
  <si>
    <t>评头论足模玩店</t>
  </si>
  <si>
    <t>ACG，暂hold</t>
  </si>
  <si>
    <t>477782158</t>
  </si>
  <si>
    <t>26321770</t>
  </si>
  <si>
    <t>一般潜力拒绝入驻，暂无时间精力</t>
  </si>
  <si>
    <t>416161143</t>
  </si>
  <si>
    <t>野路子钢镚儿</t>
  </si>
  <si>
    <t>好家伙玩具店</t>
  </si>
  <si>
    <t>10705745</t>
  </si>
  <si>
    <t>爱吃Alice的糖醋里脊</t>
  </si>
  <si>
    <t>日落无尽夏 endless summer</t>
  </si>
  <si>
    <t>建联+有效沟通；已签约的up主，24年gmv 1880万；但目前自有品牌已清货，发布视频声明退店，人在澳洲，mcn合作已终止，供应链已停止合作。退店原因主要为收益不足的同时，还会承受负面舆论；24年UE为 800万gmv 10%+净利润，和机构分润后不足50万，且大部分利润压在库存上。若恢复直播带货，预期收入需要100万/年，按照24年销售额测算，再次带货销售额预期有所下降，新自有品牌需要提高售价确保佣金足够，同时能解决库存尾货问题获得利润。若尝试视频带货，则主要需要目前现有的供应链是否可支持。目前对小店及带货态度消极，但未完全放弃；推进up盘现有供应链资源中。</t>
  </si>
  <si>
    <t>146979897</t>
  </si>
  <si>
    <t>343756207</t>
  </si>
  <si>
    <t>指挥官AlexyOfficial</t>
  </si>
  <si>
    <t>战术老炮</t>
  </si>
  <si>
    <t>429582883</t>
  </si>
  <si>
    <t>品城记本地版</t>
  </si>
  <si>
    <t>品城记甄选</t>
  </si>
  <si>
    <t>438173577</t>
  </si>
  <si>
    <t>卢克文工作室</t>
  </si>
  <si>
    <t>卢克文书店</t>
  </si>
  <si>
    <t>20990353</t>
  </si>
  <si>
    <t>游戏动力VGN</t>
  </si>
  <si>
    <t>VGN硬件商城/VGN数码旗舰店/ATK旗舰店/ATK数码旗舰店/VGN官方旗舰店</t>
  </si>
  <si>
    <t>VGN旗舰店</t>
  </si>
  <si>
    <t>原有小店游戏动力VGN，下周内橱窗链接更新替换为新品牌 ATK品牌商品</t>
  </si>
  <si>
    <t>473519710</t>
  </si>
  <si>
    <t>【游戏】</t>
  </si>
  <si>
    <t>32533840</t>
  </si>
  <si>
    <t>对啊网</t>
  </si>
  <si>
    <t>对啊网图书旗舰店</t>
  </si>
  <si>
    <t>417302260</t>
  </si>
  <si>
    <t>347441270</t>
  </si>
  <si>
    <t>国创</t>
  </si>
  <si>
    <t>15770782</t>
  </si>
  <si>
    <t>七创社7doc</t>
  </si>
  <si>
    <t>光和社商店</t>
  </si>
  <si>
    <t>1393437</t>
  </si>
  <si>
    <t>YXECG游戏资讯</t>
  </si>
  <si>
    <t>每晚八点游戏商店</t>
  </si>
  <si>
    <t>11083481</t>
  </si>
  <si>
    <t>海东鉴宝</t>
  </si>
  <si>
    <t>源头珠宝严选</t>
  </si>
  <si>
    <t>17474339</t>
  </si>
  <si>
    <t>小白开箱</t>
  </si>
  <si>
    <t>小白开箱严选</t>
  </si>
  <si>
    <t>2196632</t>
  </si>
  <si>
    <t>兰矛RS</t>
  </si>
  <si>
    <t>安心村無伶工造</t>
  </si>
  <si>
    <t>404987905</t>
  </si>
  <si>
    <t>ACG外观研究社</t>
  </si>
  <si>
    <t>零次元MOD</t>
  </si>
  <si>
    <t>94613244</t>
  </si>
  <si>
    <t>1493826216</t>
  </si>
  <si>
    <t>竹洋洗涤科技有限公司</t>
  </si>
  <si>
    <t>竹洋洗涤科技</t>
  </si>
  <si>
    <t>1230202404</t>
  </si>
  <si>
    <t>佳晨下班了</t>
  </si>
  <si>
    <t>笹一旗舰店</t>
  </si>
  <si>
    <t>37408712</t>
  </si>
  <si>
    <t>天才李杰灵</t>
  </si>
  <si>
    <t>趣评测商城</t>
  </si>
  <si>
    <t>259288038</t>
  </si>
  <si>
    <t>Withmeiying</t>
  </si>
  <si>
    <t>SOACAI旗舰店</t>
  </si>
  <si>
    <t>584821784</t>
  </si>
  <si>
    <t>世纪威锋波哥</t>
  </si>
  <si>
    <t>马拉松旗舰店</t>
  </si>
  <si>
    <t>383400717</t>
  </si>
  <si>
    <t>14871346</t>
  </si>
  <si>
    <t>装机</t>
  </si>
  <si>
    <t>35359510</t>
  </si>
  <si>
    <t>装机猿整机店/装机猿自营店/装机猿玩家店/装机猿电脑专营店/装机猿电竞馆</t>
  </si>
  <si>
    <t>178690106</t>
  </si>
  <si>
    <t>搞机所</t>
  </si>
  <si>
    <t>搞机所电脑</t>
  </si>
  <si>
    <t>338748561</t>
  </si>
  <si>
    <t>好物清单</t>
  </si>
  <si>
    <t>好物清单电脑</t>
  </si>
  <si>
    <t>9321359</t>
  </si>
  <si>
    <t>FUN科技</t>
  </si>
  <si>
    <t>FUN科技电脑工坊</t>
  </si>
  <si>
    <t>297991412</t>
  </si>
  <si>
    <t>和微论件</t>
  </si>
  <si>
    <t>和微论件DIY电脑</t>
  </si>
  <si>
    <t>133901828</t>
  </si>
  <si>
    <t>二斤和她的主机</t>
  </si>
  <si>
    <t>4835329</t>
  </si>
  <si>
    <t>AS极客</t>
  </si>
  <si>
    <t>AS极客店</t>
  </si>
  <si>
    <t>941799</t>
  </si>
  <si>
    <t>野生的装机宅</t>
  </si>
  <si>
    <t>装机宅电脑</t>
  </si>
  <si>
    <t>504453319</t>
  </si>
  <si>
    <t>评测臻选</t>
  </si>
  <si>
    <t>评测臻选装机店</t>
  </si>
  <si>
    <t>551534193</t>
  </si>
  <si>
    <t>至尊定制</t>
  </si>
  <si>
    <t>至尊定制装机店</t>
  </si>
  <si>
    <t>470231396</t>
  </si>
  <si>
    <t>700608201</t>
  </si>
  <si>
    <t>好屏如潮</t>
  </si>
  <si>
    <t>10909041</t>
  </si>
  <si>
    <t>VirtualMOD</t>
  </si>
  <si>
    <t>VMOD的定制主机</t>
  </si>
  <si>
    <t>污花prpr</t>
  </si>
  <si>
    <t>BearPanda熊熊社企业店铺</t>
  </si>
  <si>
    <t>1、沟通时间：26年3月3日
2、拒绝的原因：无客制化商品，仅带会员购手办商品
3、主要沟通的商家对接人（决策人）：UP主本人
4、对方的配合度：配合度一般，主要是没有开品能力
5、游说空间：可以尝试实物电商开品，看UP主是否有兴趣</t>
  </si>
  <si>
    <t>58.337万</t>
  </si>
  <si>
    <t>2000元</t>
  </si>
  <si>
    <t>OneThird 悠悠球工作室</t>
  </si>
  <si>
    <t>1、成本顾虑：跟淘宝相比，平台提点5%偏高
2、UP主本身无客制化商品，目前找了已入驻厂家做分销</t>
  </si>
  <si>
    <t>126.27万</t>
  </si>
  <si>
    <t>供应商信息</t>
  </si>
  <si>
    <t>执行进度</t>
  </si>
  <si>
    <t>供应商</t>
  </si>
  <si>
    <t>主营品类</t>
  </si>
  <si>
    <t>店铺标签</t>
  </si>
  <si>
    <t>是否撮合</t>
  </si>
  <si>
    <t>是否进入执行</t>
  </si>
  <si>
    <t>项目定制进度</t>
  </si>
  <si>
    <t>项目主题</t>
  </si>
  <si>
    <t>预估年销售额（万元）</t>
  </si>
  <si>
    <t>预计上线时间</t>
  </si>
  <si>
    <t>史图馆</t>
  </si>
  <si>
    <t>行走社</t>
  </si>
  <si>
    <t>图书</t>
  </si>
  <si>
    <t>0-1开品</t>
  </si>
  <si>
    <t>初稿编写中</t>
  </si>
  <si>
    <t>中东文明史</t>
  </si>
  <si>
    <t>中国恐龙大全</t>
  </si>
  <si>
    <t>女性艺术家</t>
  </si>
  <si>
    <t>你的好朋友目清</t>
  </si>
  <si>
    <t>中国术数大全</t>
  </si>
  <si>
    <t>瑞克zero</t>
  </si>
  <si>
    <t>第一次世界大战</t>
  </si>
  <si>
    <t>风云南北朝</t>
  </si>
  <si>
    <t>麻薯波比</t>
  </si>
  <si>
    <t>美国风云史</t>
  </si>
  <si>
    <t>文化遗产搬运委员会</t>
  </si>
  <si>
    <t>中国神话百科</t>
  </si>
  <si>
    <t>馆长刘下饭</t>
  </si>
  <si>
    <t>西方神话百科</t>
  </si>
  <si>
    <t>医学边界</t>
  </si>
  <si>
    <t>医药与毒药</t>
  </si>
  <si>
    <t>虚拟UP主</t>
  </si>
  <si>
    <t>早稻叽</t>
  </si>
  <si>
    <t>懒吃侠</t>
  </si>
  <si>
    <t>持续带货中</t>
  </si>
  <si>
    <t>早稻叽鸡脚筋联名</t>
  </si>
  <si>
    <t>尼奈nine_Official</t>
  </si>
  <si>
    <t>尼奈鸡脚筋众筹</t>
  </si>
  <si>
    <t>折原露露</t>
  </si>
  <si>
    <t>素材筹备中</t>
  </si>
  <si>
    <t>折原露露鸡脚筋联名</t>
  </si>
  <si>
    <t>3461569182698067</t>
  </si>
  <si>
    <t>Afaer-吕和今Asota</t>
  </si>
  <si>
    <t>吕和今鸡脚筋联名</t>
  </si>
  <si>
    <t>洛澜Aurelia</t>
  </si>
  <si>
    <t>洛澜鸡脚筋联名</t>
  </si>
  <si>
    <t>KL_qiqi_</t>
  </si>
  <si>
    <t>KLqiqi鸡脚筋联名</t>
  </si>
  <si>
    <t>兰音鸡脚筋联名</t>
  </si>
  <si>
    <t>鞋服</t>
  </si>
  <si>
    <t>企划中</t>
  </si>
  <si>
    <t>zettaranc×凡人修仙传</t>
  </si>
  <si>
    <t>GM的秘密基地</t>
  </si>
  <si>
    <t>自研</t>
  </si>
  <si>
    <t>玩具</t>
  </si>
  <si>
    <t>大货生产中</t>
  </si>
  <si>
    <t>首款自研益智玩具拼图</t>
  </si>
  <si>
    <t>带来好运的Bowen波波</t>
  </si>
  <si>
    <t>棉客诚品</t>
  </si>
  <si>
    <t>服饰个护</t>
  </si>
  <si>
    <t>千鸟</t>
  </si>
  <si>
    <t>自研开发男士内衣个护品</t>
  </si>
  <si>
    <t>搞事明天玩什么</t>
  </si>
  <si>
    <t>基石</t>
  </si>
  <si>
    <t>搞事轻户外联名款</t>
  </si>
  <si>
    <t>虚拟工会</t>
  </si>
  <si>
    <t>VirtuaReal</t>
  </si>
  <si>
    <t>已寄样待反馈</t>
  </si>
  <si>
    <t>3546724557654138</t>
  </si>
  <si>
    <t>斯奎奇大王</t>
  </si>
  <si>
    <t>黎歌Neeko</t>
  </si>
  <si>
    <t>冥冥meichan</t>
  </si>
  <si>
    <t>Akie秋绘</t>
  </si>
  <si>
    <t>巴老师的小号</t>
  </si>
  <si>
    <r>
      <rPr>
        <sz val="10"/>
        <color rgb="FF267EF0"/>
        <rFont val="等线"/>
        <charset val="134"/>
      </rPr>
      <t>逍遥散人商品企划</t>
    </r>
    <r>
      <rPr>
        <sz val="10"/>
        <color rgb="FF000000"/>
        <rFont val="等线"/>
        <charset val="134"/>
      </rPr>
      <t xml:space="preserve">  有了初版方向，约up拜访中，目前up手术，预计12月中拜访</t>
    </r>
  </si>
  <si>
    <t>列标签</t>
  </si>
  <si>
    <t>(空白)</t>
  </si>
  <si>
    <t>(多项)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</si>
</sst>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_ "/>
    <numFmt numFmtId="179" formatCode="yyyy&quot;年&quot;m&quot;月&quot;;@"/>
  </numFmts>
  <fonts count="68">
    <font>
      <sz val="10"/>
      <color theme="1"/>
      <name val="等线"/>
      <family val="2"/>
      <charset val="134"/>
      <scheme val="minor"/>
    </font>
    <font>
      <i/>
      <sz val="8"/>
      <name val="等线"/>
      <charset val="134"/>
    </font>
    <font>
      <b/>
      <sz val="10"/>
      <name val="等线"/>
      <charset val="134"/>
    </font>
    <font>
      <i/>
      <sz val="10"/>
      <color rgb="FF939393"/>
      <name val="等线"/>
      <charset val="134"/>
    </font>
    <font>
      <sz val="10"/>
      <color rgb="FF939393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sz val="9"/>
      <name val="等线"/>
      <charset val="134"/>
    </font>
    <font>
      <sz val="9"/>
      <name val="等线"/>
      <charset val="134"/>
    </font>
    <font>
      <sz val="9"/>
      <name val="等线"/>
      <charset val="134"/>
    </font>
    <font>
      <sz val="10"/>
      <name val="等线"/>
      <charset val="134"/>
    </font>
    <font>
      <sz val="9"/>
      <name val="等线"/>
      <charset val="134"/>
    </font>
    <font>
      <sz val="11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sz val="9"/>
      <name val="等线"/>
      <charset val="134"/>
    </font>
    <font>
      <sz val="8"/>
      <name val="等线"/>
      <charset val="134"/>
    </font>
    <font>
      <sz val="10"/>
      <color rgb="FF939393"/>
      <name val="等线"/>
      <charset val="134"/>
    </font>
    <font>
      <b/>
      <sz val="10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trike/>
      <sz val="10"/>
      <name val="宋体"/>
      <charset val="134"/>
    </font>
    <font>
      <strike/>
      <sz val="10"/>
      <name val="宋体"/>
      <charset val="134"/>
    </font>
    <font>
      <sz val="10"/>
      <name val="SimSun"/>
      <charset val="134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939393"/>
      <name val="等线"/>
      <charset val="134"/>
    </font>
    <font>
      <sz val="10"/>
      <color rgb="FF000000"/>
      <name val="等线"/>
      <charset val="134"/>
    </font>
    <font>
      <strike/>
      <sz val="10"/>
      <color rgb="FF939393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0"/>
      <color rgb="FF939393"/>
      <name val="等线"/>
      <charset val="134"/>
    </font>
    <font>
      <strike/>
      <sz val="10"/>
      <color rgb="FF000000"/>
      <name val="等线"/>
      <charset val="134"/>
    </font>
    <font>
      <strike/>
      <sz val="10"/>
      <color rgb="FF939393"/>
      <name val="等线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strike/>
      <sz val="10"/>
      <name val="等线"/>
      <charset val="134"/>
    </font>
    <font>
      <sz val="10"/>
      <color rgb="FF000000"/>
      <name val="等线"/>
      <charset val="134"/>
    </font>
    <font>
      <sz val="10"/>
      <color rgb="FF939393"/>
      <name val="等线"/>
      <charset val="134"/>
    </font>
    <font>
      <sz val="10"/>
      <color rgb="FF939393"/>
      <name val="等线"/>
      <charset val="134"/>
    </font>
    <font>
      <sz val="10"/>
      <color rgb="FFDE322C"/>
      <name val="等线"/>
      <charset val="134"/>
    </font>
    <font>
      <sz val="10"/>
      <name val="等线"/>
      <charset val="134"/>
    </font>
    <font>
      <sz val="10"/>
      <color rgb="FF18191C"/>
      <name val="等线"/>
      <charset val="134"/>
    </font>
    <font>
      <sz val="11"/>
      <name val="等线"/>
      <charset val="134"/>
    </font>
    <font>
      <b/>
      <sz val="10"/>
      <color rgb="FF000000"/>
      <name val="等线"/>
      <charset val="134"/>
    </font>
    <font>
      <strike/>
      <sz val="10"/>
      <color rgb="FF939393"/>
      <name val="等线"/>
      <charset val="134"/>
    </font>
    <font>
      <sz val="10"/>
      <color rgb="FF939393"/>
      <name val="等线"/>
      <charset val="134"/>
    </font>
    <font>
      <sz val="9"/>
      <color rgb="FF939393"/>
      <name val="等线"/>
      <charset val="134"/>
    </font>
    <font>
      <sz val="9"/>
      <color rgb="FF939393"/>
      <name val="等线"/>
      <charset val="134"/>
    </font>
    <font>
      <sz val="8"/>
      <color rgb="FF939393"/>
      <name val="等线"/>
      <charset val="134"/>
    </font>
    <font>
      <sz val="10"/>
      <color rgb="FF939393"/>
      <name val="等线"/>
      <charset val="134"/>
    </font>
    <font>
      <strike/>
      <sz val="10"/>
      <color rgb="FF939393"/>
      <name val="等线"/>
      <charset val="134"/>
    </font>
    <font>
      <strike/>
      <sz val="10"/>
      <color rgb="FF939393"/>
      <name val="等线"/>
      <charset val="134"/>
    </font>
    <font>
      <strike/>
      <sz val="10"/>
      <color rgb="FF939393"/>
      <name val="等线"/>
      <charset val="134"/>
    </font>
    <font>
      <sz val="9"/>
      <color rgb="FF939393"/>
      <name val="等线"/>
      <charset val="134"/>
    </font>
    <font>
      <sz val="8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000000"/>
      <name val="等线"/>
      <charset val="134"/>
    </font>
    <font>
      <sz val="9"/>
      <name val="等线"/>
      <charset val="134"/>
    </font>
    <font>
      <sz val="10"/>
      <name val="等线"/>
      <charset val="134"/>
    </font>
    <font>
      <strike/>
      <sz val="10"/>
      <color rgb="FF000000"/>
      <name val="等线"/>
      <charset val="134"/>
    </font>
    <font>
      <sz val="9"/>
      <name val="等线"/>
      <charset val="134"/>
    </font>
    <font>
      <sz val="10"/>
      <color rgb="FF267EF0"/>
      <name val="等线"/>
      <charset val="134"/>
    </font>
    <font>
      <sz val="9"/>
      <name val="等线"/>
      <family val="2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E5EFFF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FC9C7"/>
        <bgColor auto="1"/>
      </patternFill>
    </fill>
    <fill>
      <patternFill patternType="none"/>
    </fill>
    <fill>
      <patternFill patternType="solid">
        <fgColor rgb="FFD8D8D8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C3EAD5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D8D8"/>
      </patternFill>
    </fill>
    <fill>
      <patternFill patternType="solid">
        <fgColor rgb="FFC7DCFF"/>
      </patternFill>
    </fill>
    <fill>
      <patternFill patternType="solid">
        <fgColor rgb="FFD8D8D8"/>
      </patternFill>
    </fill>
    <fill>
      <patternFill patternType="solid">
        <fgColor rgb="FFC7DC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C7DCFF"/>
      </patternFill>
    </fill>
    <fill>
      <patternFill patternType="none">
        <fgColor rgb="FFFFE9E8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/>
      <right style="thin">
        <color rgb="FF000000"/>
      </right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/>
      <right/>
      <top style="dashed">
        <color rgb="FF000000"/>
      </top>
      <bottom style="thin">
        <color rgb="FF000000"/>
      </bottom>
      <diagonal/>
    </border>
    <border>
      <left/>
      <right style="thin">
        <color rgb="FF000000"/>
      </right>
      <top style="dashed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/>
      <right/>
      <top style="thin">
        <color rgb="FF000000"/>
      </top>
      <bottom/>
      <diagonal/>
    </border>
    <border diagonalUp="1" diagonalDown="1">
      <left/>
      <right/>
      <top style="thin">
        <color rgb="FF000000"/>
      </top>
      <bottom/>
      <diagonal/>
    </border>
    <border diagonalUp="1" diagonalDown="1">
      <left style="thin">
        <color rgb="FF000000"/>
      </left>
      <right/>
      <top style="thin">
        <color rgb="FF000000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 style="dashed">
        <color rgb="FF000000"/>
      </bottom>
      <diagonal/>
    </border>
    <border diagonalUp="1" diagonalDown="1">
      <left/>
      <right/>
      <top style="thin">
        <color rgb="FF000000"/>
      </top>
      <bottom style="dashed">
        <color rgb="FF000000"/>
      </bottom>
      <diagonal/>
    </border>
    <border diagonalUp="1" diagonalDown="1">
      <left/>
      <right/>
      <top style="thin">
        <color rgb="FF000000"/>
      </top>
      <bottom style="dashed">
        <color rgb="FF000000"/>
      </bottom>
      <diagonal/>
    </border>
    <border diagonalUp="1" diagonalDown="1">
      <left style="thin">
        <color rgb="FF000000"/>
      </left>
      <right/>
      <top/>
      <bottom/>
      <diagonal/>
    </border>
    <border diagonalUp="1" diagonalDown="1">
      <left/>
      <right style="thin">
        <color rgb="FF000000"/>
      </right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 style="thin">
        <color rgb="FF000000"/>
      </right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/>
      <top/>
      <bottom/>
      <diagonal/>
    </border>
    <border diagonalUp="1" diagonalDown="1">
      <left/>
      <right style="thin">
        <color rgb="FF000000"/>
      </right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/>
      <top/>
      <bottom style="thin">
        <color rgb="FF000000"/>
      </bottom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 style="thin">
        <color rgb="FF000000"/>
      </left>
      <right/>
      <top/>
      <bottom/>
      <diagonal/>
    </border>
    <border diagonalUp="1" diagonalDown="1">
      <left/>
      <right style="thin">
        <color rgb="FF000000"/>
      </right>
      <top/>
      <bottom style="dashed">
        <color rgb="FF000000"/>
      </bottom>
      <diagonal/>
    </border>
    <border diagonalUp="1" diagonalDown="1">
      <left/>
      <right/>
      <top/>
      <bottom style="dashed">
        <color rgb="FF000000"/>
      </bottom>
      <diagonal/>
    </border>
    <border diagonalUp="1" diagonalDown="1">
      <left/>
      <right/>
      <top/>
      <bottom style="dashed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95959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000000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595959"/>
      </right>
      <top/>
      <bottom style="dashed">
        <color rgb="FF595959"/>
      </bottom>
      <diagonal/>
    </border>
    <border>
      <left/>
      <right/>
      <top/>
      <bottom style="dashed">
        <color rgb="FF595959"/>
      </bottom>
      <diagonal/>
    </border>
    <border>
      <left/>
      <right/>
      <top/>
      <bottom style="dashed">
        <color rgb="FF595959"/>
      </bottom>
      <diagonal/>
    </border>
    <border>
      <left/>
      <right style="thin">
        <color rgb="FF000000"/>
      </right>
      <top/>
      <bottom style="dashed">
        <color rgb="FF595959"/>
      </bottom>
      <diagonal/>
    </border>
    <border>
      <left style="thin">
        <color rgb="FF000000"/>
      </left>
      <right style="thin">
        <color rgb="FF59595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595959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0" fontId="3" fillId="0" borderId="7" xfId="0" applyFont="1" applyBorder="1" applyAlignment="1">
      <alignment horizontal="left" vertical="center"/>
    </xf>
    <xf numFmtId="176" fontId="0" fillId="0" borderId="8" xfId="0" applyNumberFormat="1" applyBorder="1">
      <alignment vertical="center"/>
    </xf>
    <xf numFmtId="176" fontId="0" fillId="0" borderId="5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3" fillId="0" borderId="9" xfId="0" applyFont="1" applyBorder="1" applyAlignment="1">
      <alignment horizontal="left" vertical="center"/>
    </xf>
    <xf numFmtId="176" fontId="0" fillId="0" borderId="10" xfId="0" applyNumberFormat="1" applyBorder="1">
      <alignment vertical="center"/>
    </xf>
    <xf numFmtId="176" fontId="0" fillId="0" borderId="10" xfId="0" applyNumberFormat="1" applyBorder="1" applyAlignment="1">
      <alignment horizontal="right" vertical="center"/>
    </xf>
    <xf numFmtId="176" fontId="0" fillId="0" borderId="11" xfId="0" applyNumberFormat="1" applyBorder="1">
      <alignment vertical="center"/>
    </xf>
    <xf numFmtId="0" fontId="0" fillId="3" borderId="9" xfId="0" applyFill="1" applyBorder="1">
      <alignment vertical="center"/>
    </xf>
    <xf numFmtId="176" fontId="0" fillId="3" borderId="10" xfId="0" applyNumberFormat="1" applyFill="1" applyBorder="1">
      <alignment vertical="center"/>
    </xf>
    <xf numFmtId="176" fontId="0" fillId="3" borderId="11" xfId="0" applyNumberFormat="1" applyFill="1" applyBorder="1">
      <alignment vertical="center"/>
    </xf>
    <xf numFmtId="0" fontId="1" fillId="2" borderId="12" xfId="0" applyFont="1" applyFill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5" xfId="0" applyBorder="1">
      <alignment vertical="center"/>
    </xf>
    <xf numFmtId="176" fontId="0" fillId="0" borderId="16" xfId="0" applyNumberFormat="1" applyBorder="1">
      <alignment vertical="center"/>
    </xf>
    <xf numFmtId="176" fontId="0" fillId="0" borderId="17" xfId="0" applyNumberForma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176" fontId="0" fillId="0" borderId="19" xfId="0" applyNumberFormat="1" applyBorder="1">
      <alignment vertical="center"/>
    </xf>
    <xf numFmtId="176" fontId="0" fillId="0" borderId="20" xfId="0" applyNumberFormat="1" applyBorder="1">
      <alignment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26" xfId="0" applyBorder="1">
      <alignment vertical="center"/>
    </xf>
    <xf numFmtId="176" fontId="0" fillId="4" borderId="27" xfId="0" applyNumberFormat="1" applyFill="1" applyBorder="1">
      <alignment vertical="center"/>
    </xf>
    <xf numFmtId="176" fontId="0" fillId="0" borderId="28" xfId="0" applyNumberFormat="1" applyBorder="1">
      <alignment vertical="center"/>
    </xf>
    <xf numFmtId="176" fontId="0" fillId="4" borderId="26" xfId="0" applyNumberFormat="1" applyFill="1" applyBorder="1">
      <alignment vertical="center"/>
    </xf>
    <xf numFmtId="0" fontId="0" fillId="0" borderId="30" xfId="0" applyBorder="1">
      <alignment vertical="center"/>
    </xf>
    <xf numFmtId="176" fontId="0" fillId="0" borderId="31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30" xfId="0" applyNumberFormat="1" applyBorder="1">
      <alignment vertical="center"/>
    </xf>
    <xf numFmtId="0" fontId="0" fillId="0" borderId="33" xfId="0" applyBorder="1">
      <alignment vertical="center"/>
    </xf>
    <xf numFmtId="176" fontId="0" fillId="0" borderId="34" xfId="0" applyNumberFormat="1" applyBorder="1">
      <alignment vertical="center"/>
    </xf>
    <xf numFmtId="176" fontId="0" fillId="0" borderId="35" xfId="0" applyNumberFormat="1" applyBorder="1">
      <alignment vertical="center"/>
    </xf>
    <xf numFmtId="176" fontId="0" fillId="0" borderId="33" xfId="0" applyNumberFormat="1" applyBorder="1">
      <alignment vertical="center"/>
    </xf>
    <xf numFmtId="0" fontId="0" fillId="0" borderId="37" xfId="0" applyBorder="1">
      <alignment vertical="center"/>
    </xf>
    <xf numFmtId="176" fontId="0" fillId="0" borderId="38" xfId="0" applyNumberFormat="1" applyBorder="1">
      <alignment vertical="center"/>
    </xf>
    <xf numFmtId="176" fontId="0" fillId="0" borderId="39" xfId="0" applyNumberFormat="1" applyBorder="1">
      <alignment vertical="center"/>
    </xf>
    <xf numFmtId="176" fontId="0" fillId="0" borderId="37" xfId="0" applyNumberFormat="1" applyBorder="1">
      <alignment vertical="center"/>
    </xf>
    <xf numFmtId="0" fontId="0" fillId="0" borderId="41" xfId="0" applyBorder="1">
      <alignment vertical="center"/>
    </xf>
    <xf numFmtId="176" fontId="0" fillId="0" borderId="42" xfId="0" applyNumberFormat="1" applyBorder="1">
      <alignment vertical="center"/>
    </xf>
    <xf numFmtId="176" fontId="0" fillId="0" borderId="43" xfId="0" applyNumberFormat="1" applyBorder="1">
      <alignment vertical="center"/>
    </xf>
    <xf numFmtId="176" fontId="0" fillId="0" borderId="41" xfId="0" applyNumberFormat="1" applyBorder="1">
      <alignment vertical="center"/>
    </xf>
    <xf numFmtId="0" fontId="0" fillId="0" borderId="45" xfId="0" applyBorder="1">
      <alignment vertical="center"/>
    </xf>
    <xf numFmtId="176" fontId="0" fillId="0" borderId="46" xfId="0" applyNumberFormat="1" applyBorder="1">
      <alignment vertical="center"/>
    </xf>
    <xf numFmtId="176" fontId="0" fillId="0" borderId="47" xfId="0" applyNumberFormat="1" applyBorder="1">
      <alignment vertical="center"/>
    </xf>
    <xf numFmtId="176" fontId="0" fillId="0" borderId="45" xfId="0" applyNumberFormat="1" applyBorder="1">
      <alignment vertical="center"/>
    </xf>
    <xf numFmtId="176" fontId="0" fillId="3" borderId="50" xfId="0" applyNumberFormat="1" applyFill="1" applyBorder="1">
      <alignment vertical="center"/>
    </xf>
    <xf numFmtId="176" fontId="0" fillId="3" borderId="51" xfId="0" applyNumberFormat="1" applyFill="1" applyBorder="1">
      <alignment vertical="center"/>
    </xf>
    <xf numFmtId="176" fontId="0" fillId="3" borderId="49" xfId="0" applyNumberFormat="1" applyFill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2" borderId="52" xfId="0" applyFont="1" applyFill="1" applyBorder="1" applyAlignment="1"/>
    <xf numFmtId="0" fontId="2" fillId="2" borderId="53" xfId="0" applyFont="1" applyFill="1" applyBorder="1" applyAlignment="1">
      <alignment horizontal="center" vertical="center"/>
    </xf>
    <xf numFmtId="0" fontId="0" fillId="0" borderId="54" xfId="0" applyBorder="1">
      <alignment vertical="center"/>
    </xf>
    <xf numFmtId="0" fontId="0" fillId="0" borderId="55" xfId="0" applyBorder="1" applyAlignment="1"/>
    <xf numFmtId="176" fontId="0" fillId="0" borderId="56" xfId="0" applyNumberFormat="1" applyBorder="1" applyAlignment="1">
      <alignment horizontal="right" vertical="center"/>
    </xf>
    <xf numFmtId="176" fontId="0" fillId="0" borderId="57" xfId="0" applyNumberFormat="1" applyBorder="1">
      <alignment vertical="center"/>
    </xf>
    <xf numFmtId="0" fontId="0" fillId="0" borderId="58" xfId="0" applyBorder="1">
      <alignment vertical="center"/>
    </xf>
    <xf numFmtId="0" fontId="0" fillId="0" borderId="59" xfId="0" applyBorder="1" applyAlignment="1"/>
    <xf numFmtId="176" fontId="0" fillId="0" borderId="60" xfId="0" applyNumberFormat="1" applyBorder="1" applyAlignment="1">
      <alignment horizontal="right" vertical="center"/>
    </xf>
    <xf numFmtId="176" fontId="0" fillId="0" borderId="61" xfId="0" applyNumberFormat="1" applyBorder="1">
      <alignment vertical="center"/>
    </xf>
    <xf numFmtId="0" fontId="0" fillId="0" borderId="59" xfId="0" applyBorder="1">
      <alignment vertical="center"/>
    </xf>
    <xf numFmtId="176" fontId="0" fillId="0" borderId="60" xfId="0" applyNumberFormat="1" applyBorder="1">
      <alignment vertical="center"/>
    </xf>
    <xf numFmtId="0" fontId="0" fillId="0" borderId="62" xfId="0" applyBorder="1">
      <alignment vertical="center"/>
    </xf>
    <xf numFmtId="176" fontId="0" fillId="0" borderId="63" xfId="0" applyNumberFormat="1" applyBorder="1">
      <alignment vertical="center"/>
    </xf>
    <xf numFmtId="0" fontId="0" fillId="0" borderId="0" xfId="0" applyAlignment="1"/>
    <xf numFmtId="176" fontId="0" fillId="0" borderId="63" xfId="0" applyNumberFormat="1" applyBorder="1" applyAlignment="1">
      <alignment horizontal="right" vertical="center"/>
    </xf>
    <xf numFmtId="0" fontId="0" fillId="0" borderId="64" xfId="0" applyBorder="1">
      <alignment vertical="center"/>
    </xf>
    <xf numFmtId="0" fontId="0" fillId="0" borderId="10" xfId="0" applyBorder="1">
      <alignment vertical="center"/>
    </xf>
    <xf numFmtId="176" fontId="0" fillId="0" borderId="65" xfId="0" applyNumberFormat="1" applyBorder="1">
      <alignment vertical="center"/>
    </xf>
    <xf numFmtId="0" fontId="1" fillId="2" borderId="1" xfId="0" applyFont="1" applyFill="1" applyBorder="1" applyAlignment="1"/>
    <xf numFmtId="0" fontId="0" fillId="0" borderId="55" xfId="0" applyBorder="1">
      <alignment vertical="center"/>
    </xf>
    <xf numFmtId="176" fontId="0" fillId="0" borderId="56" xfId="0" applyNumberFormat="1" applyBorder="1">
      <alignment vertical="center"/>
    </xf>
    <xf numFmtId="176" fontId="0" fillId="0" borderId="59" xfId="0" applyNumberFormat="1" applyBorder="1" applyAlignment="1"/>
    <xf numFmtId="0" fontId="5" fillId="5" borderId="0" xfId="0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3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49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left" vertical="center"/>
    </xf>
    <xf numFmtId="3" fontId="1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18" fillId="0" borderId="0" xfId="0" applyFont="1">
      <alignment vertical="center"/>
    </xf>
    <xf numFmtId="3" fontId="19" fillId="9" borderId="12" xfId="0" applyNumberFormat="1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11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0" fontId="22" fillId="12" borderId="0" xfId="0" applyFont="1" applyFill="1">
      <alignment vertical="center"/>
    </xf>
    <xf numFmtId="0" fontId="22" fillId="12" borderId="0" xfId="0" applyFont="1" applyFill="1" applyAlignment="1">
      <alignment horizontal="center" vertical="center"/>
    </xf>
    <xf numFmtId="49" fontId="22" fillId="12" borderId="0" xfId="0" applyNumberFormat="1" applyFont="1" applyFill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49" fontId="22" fillId="0" borderId="0" xfId="0" applyNumberFormat="1" applyFont="1" applyAlignment="1">
      <alignment horizontal="left" vertical="center"/>
    </xf>
    <xf numFmtId="49" fontId="22" fillId="11" borderId="0" xfId="0" applyNumberFormat="1" applyFont="1" applyFill="1" applyAlignment="1">
      <alignment horizontal="left" vertical="center"/>
    </xf>
    <xf numFmtId="0" fontId="25" fillId="0" borderId="0" xfId="0" applyFont="1">
      <alignment vertical="center"/>
    </xf>
    <xf numFmtId="0" fontId="25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176" fontId="26" fillId="13" borderId="66" xfId="0" applyNumberFormat="1" applyFont="1" applyFill="1" applyBorder="1" applyAlignment="1">
      <alignment horizontal="center" vertical="center" wrapText="1"/>
    </xf>
    <xf numFmtId="0" fontId="0" fillId="0" borderId="66" xfId="0" applyBorder="1">
      <alignment vertical="center"/>
    </xf>
    <xf numFmtId="177" fontId="26" fillId="13" borderId="66" xfId="0" applyNumberFormat="1" applyFont="1" applyFill="1" applyBorder="1" applyAlignment="1">
      <alignment horizontal="left" vertical="center" wrapText="1"/>
    </xf>
    <xf numFmtId="3" fontId="26" fillId="13" borderId="66" xfId="0" applyNumberFormat="1" applyFont="1" applyFill="1" applyBorder="1" applyAlignment="1">
      <alignment horizontal="center" vertical="center" wrapText="1"/>
    </xf>
    <xf numFmtId="0" fontId="26" fillId="14" borderId="66" xfId="0" applyFont="1" applyFill="1" applyBorder="1" applyAlignment="1">
      <alignment horizontal="left" vertical="center" wrapText="1"/>
    </xf>
    <xf numFmtId="0" fontId="26" fillId="15" borderId="66" xfId="0" applyFont="1" applyFill="1" applyBorder="1" applyAlignment="1">
      <alignment horizontal="center" vertical="center" wrapText="1"/>
    </xf>
    <xf numFmtId="0" fontId="26" fillId="15" borderId="66" xfId="0" applyFont="1" applyFill="1" applyBorder="1" applyAlignment="1">
      <alignment horizontal="left" vertical="center" wrapText="1"/>
    </xf>
    <xf numFmtId="0" fontId="26" fillId="15" borderId="66" xfId="0" applyFont="1" applyFill="1" applyBorder="1" applyAlignment="1">
      <alignment horizontal="left" vertical="center" wrapText="1"/>
    </xf>
    <xf numFmtId="0" fontId="15" fillId="17" borderId="66" xfId="0" applyFont="1" applyFill="1" applyBorder="1" applyAlignment="1">
      <alignment horizontal="left" vertical="center"/>
    </xf>
    <xf numFmtId="0" fontId="15" fillId="17" borderId="68" xfId="0" applyFont="1" applyFill="1" applyBorder="1" applyAlignment="1">
      <alignment horizontal="left" vertical="center"/>
    </xf>
    <xf numFmtId="0" fontId="15" fillId="17" borderId="68" xfId="0" applyFont="1" applyFill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27" fillId="0" borderId="68" xfId="0" applyFont="1" applyBorder="1" applyAlignment="1">
      <alignment horizontal="left" vertical="center"/>
    </xf>
    <xf numFmtId="0" fontId="13" fillId="0" borderId="68" xfId="0" applyFont="1" applyBorder="1" applyAlignment="1">
      <alignment horizontal="center" vertical="center"/>
    </xf>
    <xf numFmtId="0" fontId="15" fillId="0" borderId="66" xfId="0" applyFont="1" applyBorder="1" applyAlignment="1">
      <alignment horizontal="left" vertical="center"/>
    </xf>
    <xf numFmtId="0" fontId="18" fillId="0" borderId="68" xfId="0" applyFont="1" applyBorder="1">
      <alignment vertical="center"/>
    </xf>
    <xf numFmtId="177" fontId="15" fillId="0" borderId="68" xfId="0" applyNumberFormat="1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31" fillId="17" borderId="66" xfId="0" applyFont="1" applyFill="1" applyBorder="1">
      <alignment vertical="center"/>
    </xf>
    <xf numFmtId="177" fontId="32" fillId="17" borderId="68" xfId="0" applyNumberFormat="1" applyFont="1" applyFill="1" applyBorder="1" applyAlignment="1">
      <alignment horizontal="left" vertical="center"/>
    </xf>
    <xf numFmtId="0" fontId="32" fillId="17" borderId="68" xfId="0" applyFont="1" applyFill="1" applyBorder="1" applyAlignment="1">
      <alignment horizontal="left" vertical="center"/>
    </xf>
    <xf numFmtId="176" fontId="31" fillId="0" borderId="68" xfId="0" applyNumberFormat="1" applyFont="1" applyBorder="1" applyAlignment="1">
      <alignment horizontal="left" vertical="center"/>
    </xf>
    <xf numFmtId="0" fontId="18" fillId="0" borderId="68" xfId="0" applyFont="1" applyBorder="1" applyAlignment="1">
      <alignment horizontal="left" vertical="center"/>
    </xf>
    <xf numFmtId="0" fontId="31" fillId="0" borderId="68" xfId="0" applyFont="1" applyBorder="1" applyAlignment="1">
      <alignment horizontal="left" vertical="center"/>
    </xf>
    <xf numFmtId="0" fontId="15" fillId="17" borderId="68" xfId="0" applyFont="1" applyFill="1" applyBorder="1" applyAlignment="1">
      <alignment horizontal="left" vertical="center"/>
    </xf>
    <xf numFmtId="177" fontId="15" fillId="17" borderId="68" xfId="0" applyNumberFormat="1" applyFont="1" applyFill="1" applyBorder="1" applyAlignment="1">
      <alignment horizontal="left" vertical="center"/>
    </xf>
    <xf numFmtId="0" fontId="15" fillId="0" borderId="68" xfId="0" applyFont="1" applyBorder="1" applyAlignment="1">
      <alignment horizontal="left" vertical="center" wrapText="1"/>
    </xf>
    <xf numFmtId="0" fontId="15" fillId="8" borderId="68" xfId="0" applyFont="1" applyFill="1" applyBorder="1" applyAlignment="1">
      <alignment horizontal="left" vertical="center"/>
    </xf>
    <xf numFmtId="0" fontId="32" fillId="19" borderId="68" xfId="0" applyFont="1" applyFill="1" applyBorder="1" applyAlignment="1">
      <alignment horizontal="left" vertical="center"/>
    </xf>
    <xf numFmtId="177" fontId="32" fillId="8" borderId="68" xfId="0" applyNumberFormat="1" applyFont="1" applyFill="1" applyBorder="1" applyAlignment="1">
      <alignment horizontal="left" vertical="center"/>
    </xf>
    <xf numFmtId="177" fontId="13" fillId="17" borderId="68" xfId="0" applyNumberFormat="1" applyFont="1" applyFill="1" applyBorder="1" applyAlignment="1">
      <alignment horizontal="left" vertical="center"/>
    </xf>
    <xf numFmtId="0" fontId="33" fillId="0" borderId="68" xfId="0" applyFont="1" applyBorder="1" applyAlignment="1">
      <alignment horizontal="center" vertical="center"/>
    </xf>
    <xf numFmtId="0" fontId="32" fillId="20" borderId="66" xfId="0" applyFont="1" applyFill="1" applyBorder="1" applyAlignment="1">
      <alignment horizontal="left" vertical="center"/>
    </xf>
    <xf numFmtId="177" fontId="32" fillId="17" borderId="68" xfId="0" applyNumberFormat="1" applyFont="1" applyFill="1" applyBorder="1" applyAlignment="1">
      <alignment horizontal="left" vertical="center"/>
    </xf>
    <xf numFmtId="177" fontId="32" fillId="8" borderId="68" xfId="0" applyNumberFormat="1" applyFont="1" applyFill="1" applyBorder="1" applyAlignment="1">
      <alignment horizontal="left" vertical="center"/>
    </xf>
    <xf numFmtId="177" fontId="13" fillId="17" borderId="68" xfId="0" applyNumberFormat="1" applyFont="1" applyFill="1" applyBorder="1" applyAlignment="1">
      <alignment horizontal="left" vertical="center"/>
    </xf>
    <xf numFmtId="0" fontId="32" fillId="20" borderId="68" xfId="0" applyFont="1" applyFill="1" applyBorder="1" applyAlignment="1">
      <alignment horizontal="left" vertical="center"/>
    </xf>
    <xf numFmtId="0" fontId="36" fillId="0" borderId="68" xfId="0" applyFont="1" applyBorder="1">
      <alignment vertical="center"/>
    </xf>
    <xf numFmtId="0" fontId="13" fillId="21" borderId="68" xfId="0" applyFont="1" applyFill="1" applyBorder="1" applyAlignment="1">
      <alignment horizontal="center" vertical="center"/>
    </xf>
    <xf numFmtId="0" fontId="35" fillId="0" borderId="68" xfId="0" applyFont="1" applyBorder="1" applyAlignment="1">
      <alignment horizontal="left" vertical="center"/>
    </xf>
    <xf numFmtId="0" fontId="15" fillId="17" borderId="68" xfId="0" applyFont="1" applyFill="1" applyBorder="1">
      <alignment vertical="center"/>
    </xf>
    <xf numFmtId="0" fontId="15" fillId="0" borderId="66" xfId="0" applyFont="1" applyBorder="1" applyAlignment="1">
      <alignment horizontal="left" vertical="center"/>
    </xf>
    <xf numFmtId="0" fontId="13" fillId="0" borderId="66" xfId="0" applyFont="1" applyBorder="1" applyAlignment="1">
      <alignment horizontal="center" vertical="center"/>
    </xf>
    <xf numFmtId="0" fontId="13" fillId="12" borderId="68" xfId="0" applyFont="1" applyFill="1" applyBorder="1" applyAlignment="1">
      <alignment horizontal="left" vertical="center"/>
    </xf>
    <xf numFmtId="0" fontId="32" fillId="0" borderId="68" xfId="0" applyFont="1" applyBorder="1" applyAlignment="1">
      <alignment horizontal="center" vertical="center"/>
    </xf>
    <xf numFmtId="0" fontId="15" fillId="0" borderId="68" xfId="0" applyFont="1" applyBorder="1" applyAlignment="1">
      <alignment horizontal="left" vertical="center"/>
    </xf>
    <xf numFmtId="0" fontId="15" fillId="17" borderId="66" xfId="0" applyFont="1" applyFill="1" applyBorder="1">
      <alignment vertical="center"/>
    </xf>
    <xf numFmtId="0" fontId="15" fillId="6" borderId="68" xfId="0" applyFont="1" applyFill="1" applyBorder="1" applyAlignment="1">
      <alignment horizontal="left" vertical="center"/>
    </xf>
    <xf numFmtId="0" fontId="12" fillId="0" borderId="68" xfId="0" applyFont="1" applyBorder="1" applyAlignment="1"/>
    <xf numFmtId="0" fontId="12" fillId="0" borderId="68" xfId="0" applyFont="1" applyBorder="1" applyAlignment="1"/>
    <xf numFmtId="0" fontId="15" fillId="5" borderId="68" xfId="0" applyFont="1" applyFill="1" applyBorder="1" applyAlignment="1">
      <alignment horizontal="left" vertical="center"/>
    </xf>
    <xf numFmtId="0" fontId="15" fillId="0" borderId="66" xfId="0" applyFont="1" applyBorder="1" applyAlignment="1">
      <alignment horizontal="left" vertical="center"/>
    </xf>
    <xf numFmtId="0" fontId="4" fillId="0" borderId="68" xfId="0" applyFont="1" applyBorder="1">
      <alignment vertical="center"/>
    </xf>
    <xf numFmtId="0" fontId="38" fillId="17" borderId="68" xfId="0" applyFont="1" applyFill="1" applyBorder="1" applyAlignment="1">
      <alignment horizontal="left" vertical="center"/>
    </xf>
    <xf numFmtId="3" fontId="15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76" fontId="15" fillId="0" borderId="0" xfId="0" applyNumberFormat="1" applyFont="1" applyAlignment="1">
      <alignment horizontal="center" vertical="center"/>
    </xf>
    <xf numFmtId="0" fontId="15" fillId="17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0" fillId="0" borderId="68" xfId="0" applyBorder="1">
      <alignment vertical="center"/>
    </xf>
    <xf numFmtId="177" fontId="15" fillId="17" borderId="68" xfId="0" applyNumberFormat="1" applyFont="1" applyFill="1" applyBorder="1" applyAlignment="1">
      <alignment horizontal="left" vertical="center"/>
    </xf>
    <xf numFmtId="0" fontId="29" fillId="17" borderId="68" xfId="0" applyFont="1" applyFill="1" applyBorder="1" applyAlignment="1">
      <alignment horizontal="left" vertical="center"/>
    </xf>
    <xf numFmtId="0" fontId="32" fillId="0" borderId="68" xfId="0" applyFont="1" applyBorder="1" applyAlignment="1">
      <alignment horizontal="left" vertical="center"/>
    </xf>
    <xf numFmtId="0" fontId="31" fillId="17" borderId="68" xfId="0" applyFont="1" applyFill="1" applyBorder="1">
      <alignment vertical="center"/>
    </xf>
    <xf numFmtId="0" fontId="39" fillId="0" borderId="68" xfId="0" applyFont="1" applyBorder="1">
      <alignment vertical="center"/>
    </xf>
    <xf numFmtId="0" fontId="36" fillId="0" borderId="66" xfId="0" applyFont="1" applyBorder="1">
      <alignment vertical="center"/>
    </xf>
    <xf numFmtId="0" fontId="40" fillId="0" borderId="66" xfId="0" applyFont="1" applyBorder="1" applyAlignment="1">
      <alignment horizontal="left" vertical="center"/>
    </xf>
    <xf numFmtId="0" fontId="40" fillId="0" borderId="66" xfId="0" applyFont="1" applyBorder="1">
      <alignment vertical="center"/>
    </xf>
    <xf numFmtId="0" fontId="36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31" fillId="17" borderId="68" xfId="0" applyFont="1" applyFill="1" applyBorder="1">
      <alignment vertical="center"/>
    </xf>
    <xf numFmtId="49" fontId="32" fillId="17" borderId="68" xfId="0" applyNumberFormat="1" applyFont="1" applyFill="1" applyBorder="1" applyAlignment="1">
      <alignment horizontal="left" vertical="center"/>
    </xf>
    <xf numFmtId="0" fontId="31" fillId="0" borderId="66" xfId="0" applyFont="1" applyBorder="1" applyAlignment="1">
      <alignment horizontal="left" vertical="center"/>
    </xf>
    <xf numFmtId="0" fontId="27" fillId="17" borderId="68" xfId="0" applyFont="1" applyFill="1" applyBorder="1" applyAlignment="1">
      <alignment horizontal="left" vertical="center"/>
    </xf>
    <xf numFmtId="49" fontId="15" fillId="17" borderId="68" xfId="0" applyNumberFormat="1" applyFont="1" applyFill="1" applyBorder="1" applyAlignment="1">
      <alignment horizontal="left" vertical="center"/>
    </xf>
    <xf numFmtId="177" fontId="13" fillId="17" borderId="0" xfId="0" applyNumberFormat="1" applyFont="1" applyFill="1" applyAlignment="1">
      <alignment horizontal="left" vertical="center"/>
    </xf>
    <xf numFmtId="0" fontId="32" fillId="19" borderId="68" xfId="0" applyFont="1" applyFill="1" applyBorder="1">
      <alignment vertical="center"/>
    </xf>
    <xf numFmtId="49" fontId="13" fillId="8" borderId="68" xfId="0" applyNumberFormat="1" applyFont="1" applyFill="1" applyBorder="1" applyAlignment="1">
      <alignment horizontal="left" vertical="center"/>
    </xf>
    <xf numFmtId="0" fontId="4" fillId="0" borderId="66" xfId="0" applyFont="1" applyBorder="1">
      <alignment vertical="center"/>
    </xf>
    <xf numFmtId="0" fontId="32" fillId="0" borderId="66" xfId="0" applyFont="1" applyBorder="1" applyAlignment="1">
      <alignment horizontal="center" vertical="center"/>
    </xf>
    <xf numFmtId="0" fontId="32" fillId="20" borderId="68" xfId="0" applyFont="1" applyFill="1" applyBorder="1" applyAlignment="1">
      <alignment horizontal="left" vertical="center"/>
    </xf>
    <xf numFmtId="0" fontId="13" fillId="12" borderId="68" xfId="0" applyFont="1" applyFill="1" applyBorder="1">
      <alignment vertical="center"/>
    </xf>
    <xf numFmtId="49" fontId="31" fillId="17" borderId="68" xfId="0" applyNumberFormat="1" applyFont="1" applyFill="1" applyBorder="1" applyAlignment="1">
      <alignment horizontal="left" vertical="center"/>
    </xf>
    <xf numFmtId="0" fontId="41" fillId="0" borderId="68" xfId="0" applyFont="1" applyBorder="1" applyAlignment="1">
      <alignment horizontal="left" vertical="center"/>
    </xf>
    <xf numFmtId="0" fontId="31" fillId="17" borderId="68" xfId="0" applyFont="1" applyFill="1" applyBorder="1" applyAlignment="1">
      <alignment horizontal="left" vertical="center"/>
    </xf>
    <xf numFmtId="0" fontId="31" fillId="17" borderId="68" xfId="0" applyFont="1" applyFill="1" applyBorder="1" applyAlignment="1">
      <alignment horizontal="left" vertical="center"/>
    </xf>
    <xf numFmtId="0" fontId="32" fillId="0" borderId="68" xfId="0" applyFont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7" fontId="13" fillId="17" borderId="66" xfId="0" applyNumberFormat="1" applyFont="1" applyFill="1" applyBorder="1" applyAlignment="1">
      <alignment horizontal="left" vertical="center"/>
    </xf>
    <xf numFmtId="0" fontId="31" fillId="17" borderId="66" xfId="0" applyFont="1" applyFill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17" borderId="68" xfId="0" applyFont="1" applyFill="1" applyBorder="1" applyAlignment="1">
      <alignment horizontal="left" vertical="center"/>
    </xf>
    <xf numFmtId="0" fontId="15" fillId="17" borderId="66" xfId="0" applyFont="1" applyFill="1" applyBorder="1" applyAlignment="1">
      <alignment horizontal="left" vertical="center"/>
    </xf>
    <xf numFmtId="177" fontId="13" fillId="17" borderId="66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177" fontId="15" fillId="17" borderId="66" xfId="0" applyNumberFormat="1" applyFont="1" applyFill="1" applyBorder="1" applyAlignment="1">
      <alignment horizontal="left" vertical="center"/>
    </xf>
    <xf numFmtId="0" fontId="13" fillId="12" borderId="66" xfId="0" applyFont="1" applyFill="1" applyBorder="1" applyAlignment="1">
      <alignment horizontal="left" vertical="center"/>
    </xf>
    <xf numFmtId="0" fontId="32" fillId="0" borderId="66" xfId="0" applyFont="1" applyBorder="1" applyAlignment="1">
      <alignment horizontal="left" vertical="center"/>
    </xf>
    <xf numFmtId="0" fontId="32" fillId="8" borderId="66" xfId="0" applyFont="1" applyFill="1" applyBorder="1" applyAlignment="1">
      <alignment horizontal="left" vertical="center"/>
    </xf>
    <xf numFmtId="177" fontId="31" fillId="17" borderId="68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32" fillId="20" borderId="68" xfId="0" applyFont="1" applyFill="1" applyBorder="1" applyAlignment="1">
      <alignment horizontal="left" vertical="center"/>
    </xf>
    <xf numFmtId="0" fontId="32" fillId="8" borderId="68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17" borderId="68" xfId="0" applyFont="1" applyFill="1" applyBorder="1" applyAlignment="1">
      <alignment horizontal="left" vertical="center"/>
    </xf>
    <xf numFmtId="0" fontId="13" fillId="17" borderId="68" xfId="0" applyFont="1" applyFill="1" applyBorder="1" applyAlignment="1">
      <alignment horizontal="center" vertical="center"/>
    </xf>
    <xf numFmtId="0" fontId="32" fillId="8" borderId="68" xfId="0" applyFont="1" applyFill="1" applyBorder="1">
      <alignment vertical="center"/>
    </xf>
    <xf numFmtId="177" fontId="32" fillId="17" borderId="68" xfId="0" applyNumberFormat="1" applyFont="1" applyFill="1" applyBorder="1" applyAlignment="1">
      <alignment horizontal="left" vertical="center"/>
    </xf>
    <xf numFmtId="177" fontId="13" fillId="8" borderId="68" xfId="0" applyNumberFormat="1" applyFont="1" applyFill="1" applyBorder="1" applyAlignment="1">
      <alignment horizontal="left" vertical="center"/>
    </xf>
    <xf numFmtId="0" fontId="32" fillId="8" borderId="68" xfId="0" applyFont="1" applyFill="1" applyBorder="1" applyAlignment="1">
      <alignment horizontal="left" vertical="center"/>
    </xf>
    <xf numFmtId="0" fontId="18" fillId="0" borderId="68" xfId="0" applyFont="1" applyBorder="1">
      <alignment vertical="center"/>
    </xf>
    <xf numFmtId="0" fontId="27" fillId="8" borderId="68" xfId="0" applyFont="1" applyFill="1" applyBorder="1">
      <alignment vertical="center"/>
    </xf>
    <xf numFmtId="177" fontId="15" fillId="17" borderId="68" xfId="0" applyNumberFormat="1" applyFont="1" applyFill="1" applyBorder="1" applyAlignment="1">
      <alignment horizontal="left" vertical="center"/>
    </xf>
    <xf numFmtId="49" fontId="15" fillId="17" borderId="68" xfId="0" applyNumberFormat="1" applyFont="1" applyFill="1" applyBorder="1" applyAlignment="1">
      <alignment horizontal="left"/>
    </xf>
    <xf numFmtId="0" fontId="31" fillId="8" borderId="68" xfId="0" applyFont="1" applyFill="1" applyBorder="1">
      <alignment vertical="center"/>
    </xf>
    <xf numFmtId="0" fontId="43" fillId="8" borderId="66" xfId="0" applyFont="1" applyFill="1" applyBorder="1" applyAlignment="1">
      <alignment horizontal="left" vertical="center"/>
    </xf>
    <xf numFmtId="49" fontId="32" fillId="8" borderId="66" xfId="0" applyNumberFormat="1" applyFont="1" applyFill="1" applyBorder="1" applyAlignment="1">
      <alignment horizontal="left" vertical="center"/>
    </xf>
    <xf numFmtId="0" fontId="43" fillId="17" borderId="66" xfId="0" applyFont="1" applyFill="1" applyBorder="1" applyAlignment="1">
      <alignment horizontal="left" vertical="center"/>
    </xf>
    <xf numFmtId="49" fontId="32" fillId="17" borderId="66" xfId="0" applyNumberFormat="1" applyFont="1" applyFill="1" applyBorder="1" applyAlignment="1">
      <alignment horizontal="left" vertical="center"/>
    </xf>
    <xf numFmtId="177" fontId="32" fillId="17" borderId="66" xfId="0" applyNumberFormat="1" applyFont="1" applyFill="1" applyBorder="1" applyAlignment="1">
      <alignment horizontal="left" vertical="center"/>
    </xf>
    <xf numFmtId="0" fontId="32" fillId="8" borderId="66" xfId="0" applyFont="1" applyFill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33" fillId="0" borderId="66" xfId="0" applyFont="1" applyBorder="1" applyAlignment="1">
      <alignment horizontal="center" vertical="center"/>
    </xf>
    <xf numFmtId="0" fontId="15" fillId="0" borderId="66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17" borderId="68" xfId="0" applyFont="1" applyFill="1" applyBorder="1">
      <alignment vertical="center"/>
    </xf>
    <xf numFmtId="0" fontId="31" fillId="0" borderId="0" xfId="0" applyFont="1" applyAlignment="1">
      <alignment horizontal="left" vertical="center"/>
    </xf>
    <xf numFmtId="0" fontId="27" fillId="0" borderId="68" xfId="0" applyFont="1" applyBorder="1" applyAlignment="1">
      <alignment horizontal="left" vertical="center"/>
    </xf>
    <xf numFmtId="0" fontId="15" fillId="17" borderId="68" xfId="0" applyFont="1" applyFill="1" applyBorder="1" applyAlignment="1">
      <alignment horizontal="left" vertical="center"/>
    </xf>
    <xf numFmtId="49" fontId="32" fillId="17" borderId="68" xfId="0" applyNumberFormat="1" applyFont="1" applyFill="1" applyBorder="1" applyAlignment="1">
      <alignment horizontal="left" vertical="center"/>
    </xf>
    <xf numFmtId="0" fontId="13" fillId="12" borderId="68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3" fillId="8" borderId="68" xfId="0" applyFont="1" applyFill="1" applyBorder="1">
      <alignment vertical="center"/>
    </xf>
    <xf numFmtId="0" fontId="13" fillId="17" borderId="68" xfId="0" applyFont="1" applyFill="1" applyBorder="1">
      <alignment vertical="center"/>
    </xf>
    <xf numFmtId="0" fontId="4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49" fontId="15" fillId="17" borderId="68" xfId="0" applyNumberFormat="1" applyFont="1" applyFill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177" fontId="13" fillId="17" borderId="0" xfId="0" applyNumberFormat="1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12" borderId="68" xfId="0" applyFont="1" applyFill="1" applyBorder="1" applyAlignment="1">
      <alignment horizontal="left" vertical="center"/>
    </xf>
    <xf numFmtId="177" fontId="13" fillId="8" borderId="68" xfId="0" applyNumberFormat="1" applyFont="1" applyFill="1" applyBorder="1" applyAlignment="1">
      <alignment horizontal="left" vertical="center"/>
    </xf>
    <xf numFmtId="177" fontId="13" fillId="18" borderId="68" xfId="0" applyNumberFormat="1" applyFont="1" applyFill="1" applyBorder="1" applyAlignment="1">
      <alignment horizontal="left" vertical="center"/>
    </xf>
    <xf numFmtId="0" fontId="9" fillId="0" borderId="66" xfId="0" applyFont="1" applyBorder="1">
      <alignment vertical="center"/>
    </xf>
    <xf numFmtId="0" fontId="13" fillId="5" borderId="68" xfId="0" applyFont="1" applyFill="1" applyBorder="1">
      <alignment vertical="center"/>
    </xf>
    <xf numFmtId="0" fontId="32" fillId="0" borderId="0" xfId="0" applyFont="1" applyAlignment="1">
      <alignment horizontal="center" vertical="center"/>
    </xf>
    <xf numFmtId="0" fontId="46" fillId="0" borderId="0" xfId="0" applyFont="1" applyAlignment="1"/>
    <xf numFmtId="0" fontId="13" fillId="8" borderId="68" xfId="0" applyFont="1" applyFill="1" applyBorder="1" applyAlignment="1">
      <alignment horizontal="left" vertical="center"/>
    </xf>
    <xf numFmtId="0" fontId="18" fillId="17" borderId="68" xfId="0" applyFont="1" applyFill="1" applyBorder="1" applyAlignment="1">
      <alignment horizontal="center" vertical="center"/>
    </xf>
    <xf numFmtId="0" fontId="13" fillId="5" borderId="66" xfId="0" applyFont="1" applyFill="1" applyBorder="1">
      <alignment vertical="center"/>
    </xf>
    <xf numFmtId="0" fontId="18" fillId="18" borderId="68" xfId="0" applyFont="1" applyFill="1" applyBorder="1" applyAlignment="1">
      <alignment horizontal="center" vertical="center"/>
    </xf>
    <xf numFmtId="0" fontId="18" fillId="8" borderId="68" xfId="0" applyFont="1" applyFill="1" applyBorder="1" applyAlignment="1">
      <alignment horizontal="center" vertical="center"/>
    </xf>
    <xf numFmtId="0" fontId="13" fillId="0" borderId="68" xfId="0" applyFont="1" applyBorder="1" applyAlignment="1">
      <alignment horizontal="left" vertical="center"/>
    </xf>
    <xf numFmtId="0" fontId="45" fillId="0" borderId="68" xfId="0" applyFont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32" fillId="20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177" fontId="31" fillId="17" borderId="0" xfId="0" applyNumberFormat="1" applyFont="1" applyFill="1" applyAlignment="1">
      <alignment horizontal="left" vertical="center"/>
    </xf>
    <xf numFmtId="0" fontId="31" fillId="17" borderId="0" xfId="0" applyFont="1" applyFill="1" applyAlignment="1">
      <alignment horizontal="left" vertical="center"/>
    </xf>
    <xf numFmtId="0" fontId="31" fillId="18" borderId="0" xfId="0" applyFont="1" applyFill="1">
      <alignment vertical="center"/>
    </xf>
    <xf numFmtId="177" fontId="32" fillId="18" borderId="0" xfId="0" applyNumberFormat="1" applyFont="1" applyFill="1" applyAlignment="1">
      <alignment horizontal="left" vertical="center"/>
    </xf>
    <xf numFmtId="49" fontId="15" fillId="18" borderId="0" xfId="0" applyNumberFormat="1" applyFont="1" applyFill="1" applyAlignment="1">
      <alignment horizontal="left" vertical="center"/>
    </xf>
    <xf numFmtId="49" fontId="31" fillId="18" borderId="0" xfId="0" applyNumberFormat="1" applyFont="1" applyFill="1" applyAlignment="1">
      <alignment horizontal="left" vertical="center"/>
    </xf>
    <xf numFmtId="0" fontId="13" fillId="18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left" vertical="center"/>
    </xf>
    <xf numFmtId="0" fontId="15" fillId="17" borderId="0" xfId="0" applyFont="1" applyFill="1">
      <alignment vertical="center"/>
    </xf>
    <xf numFmtId="0" fontId="15" fillId="17" borderId="0" xfId="0" applyFont="1" applyFill="1" applyAlignment="1">
      <alignment horizontal="left" vertical="center"/>
    </xf>
    <xf numFmtId="0" fontId="31" fillId="17" borderId="0" xfId="0" applyFont="1" applyFill="1" applyAlignment="1">
      <alignment horizontal="left" vertical="center"/>
    </xf>
    <xf numFmtId="0" fontId="31" fillId="17" borderId="0" xfId="0" applyFont="1" applyFill="1">
      <alignment vertical="center"/>
    </xf>
    <xf numFmtId="177" fontId="32" fillId="17" borderId="0" xfId="0" applyNumberFormat="1" applyFont="1" applyFill="1" applyAlignment="1">
      <alignment horizontal="left" vertical="center"/>
    </xf>
    <xf numFmtId="49" fontId="32" fillId="17" borderId="0" xfId="0" applyNumberFormat="1" applyFont="1" applyFill="1" applyAlignment="1">
      <alignment horizontal="left" vertical="center"/>
    </xf>
    <xf numFmtId="49" fontId="15" fillId="17" borderId="0" xfId="0" applyNumberFormat="1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32" fillId="20" borderId="0" xfId="0" applyFont="1" applyFill="1" applyAlignment="1">
      <alignment horizontal="left" vertical="center"/>
    </xf>
    <xf numFmtId="0" fontId="32" fillId="17" borderId="0" xfId="0" applyFont="1" applyFill="1" applyAlignment="1">
      <alignment horizontal="left" vertical="center"/>
    </xf>
    <xf numFmtId="49" fontId="31" fillId="17" borderId="0" xfId="0" applyNumberFormat="1" applyFont="1" applyFill="1" applyAlignment="1">
      <alignment horizontal="left" vertical="center"/>
    </xf>
    <xf numFmtId="0" fontId="13" fillId="8" borderId="0" xfId="0" applyFont="1" applyFill="1">
      <alignment vertical="center"/>
    </xf>
    <xf numFmtId="0" fontId="31" fillId="0" borderId="0" xfId="0" applyFont="1" applyAlignment="1">
      <alignment horizontal="left" vertical="center"/>
    </xf>
    <xf numFmtId="176" fontId="47" fillId="13" borderId="12" xfId="0" applyNumberFormat="1" applyFont="1" applyFill="1" applyBorder="1" applyAlignment="1">
      <alignment horizontal="center" vertical="center" wrapText="1"/>
    </xf>
    <xf numFmtId="0" fontId="47" fillId="14" borderId="12" xfId="0" applyFont="1" applyFill="1" applyBorder="1" applyAlignment="1">
      <alignment horizontal="center" vertical="center" wrapText="1"/>
    </xf>
    <xf numFmtId="0" fontId="47" fillId="13" borderId="12" xfId="0" applyFont="1" applyFill="1" applyBorder="1" applyAlignment="1">
      <alignment horizontal="center" vertical="center" wrapText="1"/>
    </xf>
    <xf numFmtId="3" fontId="47" fillId="13" borderId="12" xfId="0" applyNumberFormat="1" applyFont="1" applyFill="1" applyBorder="1" applyAlignment="1">
      <alignment horizontal="center" vertical="center" wrapText="1"/>
    </xf>
    <xf numFmtId="3" fontId="47" fillId="14" borderId="12" xfId="0" applyNumberFormat="1" applyFont="1" applyFill="1" applyBorder="1" applyAlignment="1">
      <alignment horizontal="center" vertical="center" wrapText="1"/>
    </xf>
    <xf numFmtId="176" fontId="47" fillId="14" borderId="12" xfId="0" applyNumberFormat="1" applyFont="1" applyFill="1" applyBorder="1" applyAlignment="1">
      <alignment horizontal="center" vertical="center" wrapText="1"/>
    </xf>
    <xf numFmtId="0" fontId="26" fillId="14" borderId="12" xfId="0" applyFont="1" applyFill="1" applyBorder="1" applyAlignment="1">
      <alignment horizontal="center" vertical="center" wrapText="1"/>
    </xf>
    <xf numFmtId="0" fontId="26" fillId="16" borderId="12" xfId="0" applyFont="1" applyFill="1" applyBorder="1" applyAlignment="1">
      <alignment horizontal="center" vertical="center" wrapText="1"/>
    </xf>
    <xf numFmtId="0" fontId="26" fillId="13" borderId="12" xfId="0" applyFont="1" applyFill="1" applyBorder="1" applyAlignment="1">
      <alignment horizontal="center" vertical="center" wrapText="1"/>
    </xf>
    <xf numFmtId="0" fontId="26" fillId="15" borderId="12" xfId="0" applyFont="1" applyFill="1" applyBorder="1" applyAlignment="1">
      <alignment horizontal="center" vertical="center" wrapText="1"/>
    </xf>
    <xf numFmtId="0" fontId="26" fillId="23" borderId="12" xfId="0" applyFont="1" applyFill="1" applyBorder="1" applyAlignment="1">
      <alignment horizontal="center" vertical="center" wrapText="1"/>
    </xf>
    <xf numFmtId="0" fontId="48" fillId="17" borderId="0" xfId="0" applyFont="1" applyFill="1" applyAlignment="1">
      <alignment horizontal="left" vertical="center"/>
    </xf>
    <xf numFmtId="49" fontId="49" fillId="0" borderId="0" xfId="0" applyNumberFormat="1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176" fontId="49" fillId="0" borderId="0" xfId="0" applyNumberFormat="1" applyFont="1" applyAlignment="1">
      <alignment horizontal="left" vertical="center"/>
    </xf>
    <xf numFmtId="3" fontId="49" fillId="0" borderId="0" xfId="0" applyNumberFormat="1" applyFont="1" applyAlignment="1">
      <alignment horizontal="left" vertical="center"/>
    </xf>
    <xf numFmtId="3" fontId="50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54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49" fillId="17" borderId="0" xfId="0" applyFont="1" applyFill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4" fillId="17" borderId="0" xfId="0" applyFont="1" applyFill="1">
      <alignment vertical="center"/>
    </xf>
    <xf numFmtId="49" fontId="18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28" fillId="22" borderId="0" xfId="0" applyFont="1" applyFill="1">
      <alignment vertical="center"/>
    </xf>
    <xf numFmtId="0" fontId="30" fillId="18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3" fontId="51" fillId="0" borderId="0" xfId="0" applyNumberFormat="1" applyFont="1" applyAlignment="1">
      <alignment horizontal="center" vertical="center"/>
    </xf>
    <xf numFmtId="0" fontId="49" fillId="19" borderId="0" xfId="0" applyFont="1" applyFill="1" applyAlignment="1">
      <alignment horizontal="left" vertical="center"/>
    </xf>
    <xf numFmtId="0" fontId="48" fillId="17" borderId="71" xfId="0" applyFont="1" applyFill="1" applyBorder="1" applyAlignment="1">
      <alignment horizontal="left" vertical="center"/>
    </xf>
    <xf numFmtId="0" fontId="30" fillId="0" borderId="71" xfId="0" applyFont="1" applyBorder="1" applyAlignment="1">
      <alignment horizontal="left" vertical="center"/>
    </xf>
    <xf numFmtId="0" fontId="30" fillId="0" borderId="71" xfId="0" applyFont="1" applyBorder="1" applyAlignment="1">
      <alignment horizontal="left" vertical="center"/>
    </xf>
    <xf numFmtId="0" fontId="42" fillId="0" borderId="71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60" fillId="0" borderId="0" xfId="0" applyFont="1">
      <alignment vertical="center"/>
    </xf>
    <xf numFmtId="0" fontId="40" fillId="0" borderId="0" xfId="0" applyFont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64" fillId="0" borderId="0" xfId="0" applyFont="1">
      <alignment vertical="center"/>
    </xf>
    <xf numFmtId="176" fontId="26" fillId="15" borderId="72" xfId="0" applyNumberFormat="1" applyFont="1" applyFill="1" applyBorder="1" applyAlignment="1">
      <alignment horizontal="left" vertical="center" wrapText="1"/>
    </xf>
    <xf numFmtId="0" fontId="47" fillId="16" borderId="72" xfId="0" applyFont="1" applyFill="1" applyBorder="1" applyAlignment="1">
      <alignment horizontal="left" vertical="center" wrapText="1"/>
    </xf>
    <xf numFmtId="0" fontId="26" fillId="15" borderId="72" xfId="0" applyFont="1" applyFill="1" applyBorder="1" applyAlignment="1">
      <alignment horizontal="left" vertical="center" wrapText="1"/>
    </xf>
    <xf numFmtId="177" fontId="26" fillId="15" borderId="72" xfId="0" applyNumberFormat="1" applyFont="1" applyFill="1" applyBorder="1" applyAlignment="1">
      <alignment horizontal="left" vertical="center" wrapText="1"/>
    </xf>
    <xf numFmtId="3" fontId="26" fillId="15" borderId="72" xfId="0" applyNumberFormat="1" applyFont="1" applyFill="1" applyBorder="1" applyAlignment="1">
      <alignment horizontal="left" vertical="center" wrapText="1"/>
    </xf>
    <xf numFmtId="0" fontId="26" fillId="16" borderId="72" xfId="0" applyFont="1" applyFill="1" applyBorder="1" applyAlignment="1">
      <alignment horizontal="left" vertical="center" wrapText="1"/>
    </xf>
    <xf numFmtId="0" fontId="26" fillId="13" borderId="7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179" fontId="37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7" fillId="12" borderId="74" xfId="0" applyFont="1" applyFill="1" applyBorder="1" applyAlignment="1">
      <alignment horizontal="left" vertical="center"/>
    </xf>
    <xf numFmtId="0" fontId="37" fillId="22" borderId="71" xfId="0" applyFont="1" applyFill="1" applyBorder="1">
      <alignment vertical="center"/>
    </xf>
    <xf numFmtId="49" fontId="0" fillId="0" borderId="0" xfId="0" applyNumberFormat="1" applyAlignment="1">
      <alignment horizontal="left" vertical="center"/>
    </xf>
    <xf numFmtId="0" fontId="39" fillId="24" borderId="0" xfId="0" applyFont="1" applyFill="1">
      <alignment vertical="center"/>
    </xf>
    <xf numFmtId="0" fontId="40" fillId="0" borderId="0" xfId="0" applyFont="1">
      <alignment vertical="center"/>
    </xf>
    <xf numFmtId="0" fontId="4" fillId="8" borderId="0" xfId="0" applyFont="1" applyFill="1">
      <alignment vertical="center"/>
    </xf>
    <xf numFmtId="0" fontId="39" fillId="0" borderId="0" xfId="0" applyFont="1">
      <alignment vertical="center"/>
    </xf>
    <xf numFmtId="0" fontId="18" fillId="8" borderId="66" xfId="0" applyFont="1" applyFill="1" applyBorder="1" applyAlignment="1">
      <alignment horizontal="center" vertical="center"/>
    </xf>
    <xf numFmtId="177" fontId="18" fillId="0" borderId="66" xfId="0" applyNumberFormat="1" applyFont="1" applyBorder="1" applyAlignment="1">
      <alignment horizontal="left" vertical="center"/>
    </xf>
    <xf numFmtId="0" fontId="15" fillId="8" borderId="66" xfId="0" applyFont="1" applyFill="1" applyBorder="1" applyAlignment="1">
      <alignment horizontal="center" vertical="center"/>
    </xf>
    <xf numFmtId="0" fontId="18" fillId="0" borderId="66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4" fontId="18" fillId="0" borderId="0" xfId="0" applyNumberFormat="1" applyFont="1" applyAlignment="1">
      <alignment horizontal="right" vertical="center"/>
    </xf>
    <xf numFmtId="4" fontId="18" fillId="0" borderId="0" xfId="0" applyNumberFormat="1" applyFont="1" applyAlignment="1">
      <alignment horizontal="left" vertical="center"/>
    </xf>
    <xf numFmtId="4" fontId="18" fillId="0" borderId="0" xfId="0" applyNumberFormat="1" applyFont="1" applyAlignment="1">
      <alignment horizontal="center" vertical="center"/>
    </xf>
    <xf numFmtId="0" fontId="52" fillId="0" borderId="0" xfId="0" applyFont="1">
      <alignment vertical="center"/>
    </xf>
    <xf numFmtId="10" fontId="0" fillId="0" borderId="0" xfId="0" applyNumberFormat="1" applyAlignment="1">
      <alignment horizontal="center" vertical="center"/>
    </xf>
    <xf numFmtId="0" fontId="0" fillId="0" borderId="67" xfId="0" applyBorder="1">
      <alignment vertical="center"/>
    </xf>
    <xf numFmtId="176" fontId="26" fillId="15" borderId="72" xfId="0" applyNumberFormat="1" applyFont="1" applyFill="1" applyBorder="1" applyAlignment="1">
      <alignment horizontal="left" vertical="center" wrapText="1"/>
    </xf>
    <xf numFmtId="0" fontId="0" fillId="0" borderId="72" xfId="0" applyBorder="1">
      <alignment vertical="center"/>
    </xf>
    <xf numFmtId="0" fontId="26" fillId="15" borderId="72" xfId="0" applyFont="1" applyFill="1" applyBorder="1" applyAlignment="1">
      <alignment horizontal="left" vertical="center" wrapText="1"/>
    </xf>
    <xf numFmtId="0" fontId="26" fillId="13" borderId="72" xfId="0" applyFont="1" applyFill="1" applyBorder="1" applyAlignment="1">
      <alignment horizontal="center" vertical="center" wrapText="1"/>
    </xf>
    <xf numFmtId="0" fontId="47" fillId="16" borderId="72" xfId="0" applyFont="1" applyFill="1" applyBorder="1" applyAlignment="1">
      <alignment horizontal="left" vertical="center" wrapText="1"/>
    </xf>
    <xf numFmtId="0" fontId="0" fillId="0" borderId="73" xfId="0" applyBorder="1">
      <alignment vertical="center"/>
    </xf>
    <xf numFmtId="0" fontId="47" fillId="14" borderId="72" xfId="0" applyFont="1" applyFill="1" applyBorder="1" applyAlignment="1">
      <alignment horizontal="center" vertical="center" wrapText="1"/>
    </xf>
    <xf numFmtId="176" fontId="47" fillId="13" borderId="12" xfId="0" applyNumberFormat="1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47" fillId="14" borderId="12" xfId="0" applyFont="1" applyFill="1" applyBorder="1" applyAlignment="1">
      <alignment horizontal="center" vertical="center" wrapText="1"/>
    </xf>
    <xf numFmtId="0" fontId="26" fillId="13" borderId="69" xfId="0" applyFont="1" applyFill="1" applyBorder="1" applyAlignment="1">
      <alignment horizontal="center" vertical="center" wrapText="1"/>
    </xf>
    <xf numFmtId="0" fontId="0" fillId="0" borderId="70" xfId="0" applyBorder="1">
      <alignment vertical="center"/>
    </xf>
    <xf numFmtId="0" fontId="40" fillId="0" borderId="0" xfId="0" applyFont="1" applyAlignment="1">
      <alignment horizontal="center" vertical="center"/>
    </xf>
    <xf numFmtId="0" fontId="26" fillId="16" borderId="13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6" xfId="0" applyBorder="1">
      <alignment vertical="center"/>
    </xf>
    <xf numFmtId="0" fontId="0" fillId="0" borderId="40" xfId="0" applyBorder="1">
      <alignment vertical="center"/>
    </xf>
    <xf numFmtId="0" fontId="2" fillId="0" borderId="44" xfId="0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0" fillId="0" borderId="49" xfId="0" applyBorder="1">
      <alignment vertical="center"/>
    </xf>
    <xf numFmtId="0" fontId="0" fillId="0" borderId="0" xfId="0" pivotButton="1">
      <alignment vertical="center"/>
    </xf>
  </cellXfs>
  <cellStyles count="1">
    <cellStyle name="常规" xfId="0" builtinId="0"/>
  </cellStyles>
  <dxfs count="11">
    <dxf>
      <font>
        <color rgb="FFDE322C"/>
      </font>
      <fill>
        <patternFill patternType="solid">
          <fgColor rgb="FFFFE9E8"/>
          <bgColor rgb="FFFFE9E8"/>
        </patternFill>
      </fill>
    </dxf>
    <dxf>
      <font>
        <b val="0"/>
        <i val="0"/>
        <strike val="0"/>
        <color rgb="FFDE322C"/>
      </font>
      <fill>
        <patternFill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28</xdr:row>
      <xdr:rowOff>1048</xdr:rowOff>
    </xdr:from>
    <xdr:ext cx="1885950" cy="207454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露玖" refreshedDate="46107.572592939818" createdVersion="8" refreshedVersion="7" recordCount="141" xr:uid="{00000000-000A-0000-FFFF-FFFF01000000}">
  <cacheSource type="worksheet">
    <worksheetSource ref="A1:G142" sheet="头部客制化"/>
  </cacheSource>
  <cacheFields count="27">
    <cacheField name="UP分区" numFmtId="0">
      <sharedItems/>
    </cacheField>
    <cacheField name="up_mid" numFmtId="0">
      <sharedItems containsMixedTypes="1" containsNumber="1" containsInteger="1" minValue="7349" maxValue="2142394537"/>
    </cacheField>
    <cacheField name="昵称" numFmtId="0">
      <sharedItems/>
    </cacheField>
    <cacheField name="粉丝量" numFmtId="0">
      <sharedItems containsSemiMixedTypes="0" containsString="0" containsNumber="1" containsInteger="1" minValue="884392" maxValue="17844476"/>
    </cacheField>
    <cacheField name="开环店铺名称" numFmtId="0">
      <sharedItems containsBlank="1"/>
    </cacheField>
    <cacheField name="25年品牌全平台总GMV（抖+淘）" numFmtId="0">
      <sharedItems containsString="0" containsBlank="1" containsNumber="1" containsInteger="1" minValue="0" maxValue="244547000"/>
    </cacheField>
    <cacheField name="25年B站带货年GMV（cps其他品牌+自营）" numFmtId="0">
      <sharedItems containsString="0" containsBlank="1" containsNumber="1" minValue="0" maxValue="83504466.010000005"/>
    </cacheField>
    <cacheField name="25年B站小店带货年GMV" numFmtId="0">
      <sharedItems containsString="0" containsBlank="1" containsNumber="1" minValue="0" maxValue="31599008.5"/>
    </cacheField>
    <cacheField name="B站控比_x000a_（25年2月-26年1月）" numFmtId="0">
      <sharedItems containsBlank="1" containsMixedTypes="1" containsNumber="1" minValue="0" maxValue="1"/>
    </cacheField>
    <cacheField name="是否百万粉+ 或 历史百大" numFmtId="0">
      <sharedItems containsBlank="1"/>
    </cacheField>
    <cacheField name="B站带货GMV量级" numFmtId="0">
      <sharedItems containsBlank="1"/>
    </cacheField>
    <cacheField name="店铺主要品类" numFmtId="0">
      <sharedItems containsBlank="1"/>
    </cacheField>
    <cacheField name="电商业务阶段" numFmtId="0">
      <sharedItems containsBlank="1"/>
    </cacheField>
    <cacheField name="名单来源（追溯历史）" numFmtId="0">
      <sharedItems/>
    </cacheField>
    <cacheField name="优先级" numFmtId="0">
      <sharedItems containsBlank="1"/>
    </cacheField>
    <cacheField name="原对接运营" numFmtId="0">
      <sharedItems containsBlank="1"/>
    </cacheField>
    <cacheField name="运营分工" numFmtId="0">
      <sharedItems/>
    </cacheField>
    <cacheField name="是否建联" numFmtId="0">
      <sharedItems containsBlank="1"/>
    </cacheField>
    <cacheField name="是否已入驻" numFmtId="0">
      <sharedItems containsBlank="1" count="4">
        <s v="已入驻"/>
        <s v="拒绝入驻"/>
        <m/>
        <s v="沟通入驻中"/>
      </sharedItems>
    </cacheField>
    <cacheField name="带货进度" numFmtId="0">
      <sharedItems containsBlank="1" count="5">
        <s v="积极带货"/>
        <s v="开始内容带货"/>
        <s v="未启动"/>
        <m/>
        <s v="商品已上架"/>
      </sharedItems>
    </cacheField>
    <cacheField name="商家ID" numFmtId="0">
      <sharedItems containsString="0" containsBlank="1" containsNumber="1" containsInteger="1" minValue="2055260" maxValue="10655580"/>
    </cacheField>
    <cacheField name="闭环店铺名称" numFmtId="0">
      <sharedItems containsBlank="1"/>
    </cacheField>
    <cacheField name="售卖品类" numFmtId="0">
      <sharedItems/>
    </cacheField>
    <cacheField name="【拒绝】原因" numFmtId="0">
      <sharedItems containsBlank="1"/>
    </cacheField>
    <cacheField name="20260224【未入驻】原因" numFmtId="0">
      <sharedItems containsBlank="1"/>
    </cacheField>
    <cacheField name="B站小店周GMV_x000a_（26年1月周平均GMV）" numFmtId="0">
      <sharedItems containsString="0" containsBlank="1" containsNumber="1" minValue="0" maxValue="1481862.86"/>
    </cacheField>
    <cacheField name="备注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知识"/>
    <n v="14229967"/>
    <s v="一数"/>
    <n v="17844476"/>
    <s v="数易通官方旗舰店"/>
    <n v="52511000"/>
    <n v="18741569"/>
    <n v="31599008.5"/>
    <n v="0.37568666397174361"/>
    <s v="是"/>
    <s v="千万级"/>
    <s v="图书教育"/>
    <s v="重要收入来源（超过50%）"/>
    <s v="头部UP主客制化"/>
    <s v="P0"/>
    <s v="老帕"/>
    <s v="老帕"/>
    <s v="已建联"/>
    <x v="0"/>
    <x v="0"/>
    <n v="2055260"/>
    <s v="数易通图书专营店"/>
    <s v="头部UP主"/>
    <m/>
    <s v="要写下"/>
    <n v="547478.94999999995"/>
    <s v="一数B站电商提效方案_202507小店占比90%+"/>
  </r>
  <r>
    <s v="生活"/>
    <n v="5970160"/>
    <s v="小潮院长"/>
    <n v="14067000"/>
    <s v="小潮tEam"/>
    <n v="5867300"/>
    <n v="1082676.8799999999"/>
    <n v="160681.20000000001"/>
    <n v="2.6655889371386892E-2"/>
    <s v="是"/>
    <s v="百万级"/>
    <s v="服装配饰"/>
    <s v="试水做判断（有收入）"/>
    <s v="头部UP主客制化"/>
    <s v="P0"/>
    <s v="老帕"/>
    <s v="马鹿"/>
    <s v="已建联"/>
    <x v="0"/>
    <x v="1"/>
    <n v="9007401"/>
    <s v="小潮tEam"/>
    <s v="头部UP主"/>
    <m/>
    <m/>
    <n v="16688.625"/>
    <s v="按特效小哥方案推；推的供应商不符合预期，想要工厂，不要二道贩子"/>
  </r>
  <r>
    <s v="科技"/>
    <n v="946974"/>
    <s v="影视飓风"/>
    <n v="10734798"/>
    <s v="影视飓风"/>
    <n v="244547000"/>
    <n v="21981313.16"/>
    <n v="7107828.4900000002"/>
    <n v="2.8244355702010476E-2"/>
    <s v="是"/>
    <s v="百万级"/>
    <s v="服装配饰"/>
    <s v="稳定的收入来源之一（~30%））"/>
    <s v="头部UP主客制化"/>
    <s v="P0"/>
    <s v="老帕"/>
    <s v="老帕"/>
    <s v="已建联"/>
    <x v="0"/>
    <x v="0"/>
    <n v="9880069"/>
    <s v="影视飓风商店"/>
    <s v="头部UP主"/>
    <m/>
    <s v="不用写"/>
    <n v="1481862.86"/>
    <m/>
  </r>
  <r>
    <s v="生活"/>
    <n v="62540916"/>
    <s v="周六野Zoey"/>
    <n v="10341195"/>
    <s v="她是火花旗舰店"/>
    <n v="961360"/>
    <n v="18334.669999999998"/>
    <m/>
    <n v="0"/>
    <s v="是"/>
    <s v="十万以下"/>
    <s v="服装配饰"/>
    <s v="稳定的收入来源之一（~30%））"/>
    <s v="头部UP主客制化"/>
    <s v="P2"/>
    <s v="马鹿"/>
    <s v="北极果"/>
    <s v="已建联"/>
    <x v="1"/>
    <x v="2"/>
    <m/>
    <m/>
    <s v="头部UP主"/>
    <s v="电商业务在收缩"/>
    <s v="建联"/>
    <m/>
    <s v="高潜，建联受阻，尝试了主站建联、花火建联、注册手机号建联，均未建联成功"/>
  </r>
  <r>
    <s v="知识"/>
    <n v="66607740"/>
    <s v="宋浩老师官方"/>
    <n v="10279282"/>
    <m/>
    <n v="750000"/>
    <n v="1980320.08"/>
    <n v="7888"/>
    <n v="1.0407870292180375E-2"/>
    <s v="否"/>
    <s v="千万级"/>
    <s v="服装配饰"/>
    <m/>
    <s v="Allen交接 原生UP主"/>
    <s v="P0"/>
    <m/>
    <s v="北极果"/>
    <s v="已建联"/>
    <x v="0"/>
    <x v="2"/>
    <n v="10205196"/>
    <s v="宋浩老师小店"/>
    <s v="头部UP主"/>
    <m/>
    <m/>
    <n v="0"/>
    <s v="小店运营现状（意愿、能力、配合度）：开品能力有限，配合度意愿还可以_x000a_不挂闭环的原因（if有）：一部分出版社没有入驻_x000a_增长卡点及诉求（if有）：主要还是带出版社的东西，客制化商品较少_x000a_目前只能挂出版社链接，出版社的链接开闭环都有，不属于客制化商品，现在的小店商品是T恤，只有2个SKU，可以尝试卖课"/>
  </r>
  <r>
    <s v="生活"/>
    <n v="5294454"/>
    <s v="逗比的雀巢"/>
    <n v="9956133"/>
    <s v="雀室NestleHouse"/>
    <n v="428840"/>
    <n v="246120.78"/>
    <n v="6353"/>
    <n v="1.4598120833745029E-2"/>
    <s v="是"/>
    <s v="十万级"/>
    <s v="礼品文创"/>
    <s v="试水做判断（有收入）"/>
    <s v="头部UP主客制化"/>
    <s v="P0"/>
    <s v="奥粒"/>
    <s v="北极果"/>
    <s v="已建联"/>
    <x v="0"/>
    <x v="2"/>
    <n v="10222034"/>
    <s v="雀室NestleHouse"/>
    <s v="头部UP主"/>
    <m/>
    <m/>
    <n v="89.9"/>
    <s v="电商业务收缩"/>
  </r>
  <r>
    <s v="美食"/>
    <n v="8960728"/>
    <s v="日食记"/>
    <n v="8804947"/>
    <s v="日食记旗舰店"/>
    <n v="44925000"/>
    <n v="67907.33"/>
    <n v="129576.89"/>
    <n v="2.8759983767322867E-3"/>
    <s v="是"/>
    <s v="十万以下"/>
    <s v="食品"/>
    <s v="重要收入来源（超过50%）"/>
    <s v="头部UP主客制化"/>
    <s v="P0"/>
    <s v="老帕"/>
    <s v="老帕"/>
    <s v="已建联"/>
    <x v="0"/>
    <x v="0"/>
    <n v="10626941"/>
    <s v="日食记生活馆"/>
    <s v="头部UP主"/>
    <m/>
    <s v="要写下"/>
    <n v="29604.447499999998"/>
    <m/>
  </r>
  <r>
    <s v="美食"/>
    <n v="99157282"/>
    <s v="盗月社食遇记"/>
    <n v="8209395"/>
    <s v="月亮兜兜"/>
    <n v="28458000"/>
    <n v="5609011.9199999999"/>
    <n v="128485.4"/>
    <n v="4.4946203844981941E-3"/>
    <s v="是"/>
    <s v="千万级"/>
    <s v="食品"/>
    <s v="稳定的收入来源之一（~30%））"/>
    <s v="头部UP主客制化"/>
    <s v="P0"/>
    <s v="老帕"/>
    <s v="老帕"/>
    <s v="已建联"/>
    <x v="0"/>
    <x v="0"/>
    <n v="10626947"/>
    <s v="月亮兜兜"/>
    <s v="头部UP主"/>
    <m/>
    <s v="不用写"/>
    <n v="4703.5749999999998"/>
    <s v="盗月社B站电商提效方案_202504"/>
  </r>
  <r>
    <s v="影视"/>
    <n v="10119428"/>
    <s v="小片片说大片"/>
    <n v="7350734"/>
    <s v="小片片说大片片赣南脐橙果园直供"/>
    <n v="0"/>
    <n v="7382065.9699999997"/>
    <m/>
    <e v="#DIV/0!"/>
    <s v="是"/>
    <s v="百万级"/>
    <s v="生鲜农产"/>
    <s v="试水做判断（有收入）"/>
    <s v="头部UP主客制化"/>
    <s v="P1"/>
    <s v="老帕"/>
    <s v="老帕"/>
    <s v="已建联"/>
    <x v="1"/>
    <x v="2"/>
    <m/>
    <m/>
    <s v="头部UP主"/>
    <s v="电商业务在收缩"/>
    <s v="暂不强切"/>
    <m/>
    <s v="还在拖着；【可做】11月才上品，内部讨论下再看"/>
  </r>
  <r>
    <s v="美食"/>
    <n v="39627524"/>
    <s v="食贫道"/>
    <n v="6946018"/>
    <s v="食贫道 UnclePie"/>
    <n v="8495300"/>
    <n v="5602602.79"/>
    <n v="2396615.5"/>
    <n v="0.22003618188187377"/>
    <s v="是"/>
    <s v="百万级"/>
    <s v="食品"/>
    <s v="试水做判断（有收入）"/>
    <s v="头部UP主客制化"/>
    <s v="P1"/>
    <s v="老帕"/>
    <s v="老帕"/>
    <s v="已建联"/>
    <x v="0"/>
    <x v="0"/>
    <n v="10197836"/>
    <s v="食贫道 Unclepie"/>
    <s v="头部UP主"/>
    <m/>
    <m/>
    <n v="514828.92499999999"/>
    <s v="大号动态视频+小号直播/视频带货尝试，目前1.5万，主要是小号直播的量，效率还可以七八千-&gt;1万"/>
  </r>
  <r>
    <s v="游戏"/>
    <n v="168598"/>
    <s v="逍遥散人"/>
    <n v="6902271"/>
    <s v="小小散兜"/>
    <n v="0"/>
    <n v="124033.5"/>
    <n v="79062"/>
    <n v="1"/>
    <s v="是"/>
    <s v="百万级"/>
    <m/>
    <s v="试水做判断（有收入）"/>
    <s v="头部UP主客制化"/>
    <s v="P1"/>
    <s v="E"/>
    <s v="老帕"/>
    <s v="已建联"/>
    <x v="0"/>
    <x v="1"/>
    <n v="10194606"/>
    <s v="小小散兜 LittleSandult"/>
    <s v="头部UP主"/>
    <m/>
    <m/>
    <n v="0"/>
    <s v="已上架，直播带货中"/>
  </r>
  <r>
    <s v="美食"/>
    <n v="290526283"/>
    <s v="美食作家王刚R"/>
    <n v="6849113"/>
    <s v="美食作家王刚"/>
    <n v="3928500"/>
    <n v="721558.25"/>
    <n v="757872"/>
    <n v="0.16171827588590917"/>
    <s v="是"/>
    <s v="十万以下"/>
    <s v="食品"/>
    <s v="试水做判断（有收入）"/>
    <s v="头部UP主客制化"/>
    <s v="P0"/>
    <s v="马匀涵"/>
    <s v="老帕"/>
    <s v="已建联"/>
    <x v="0"/>
    <x v="0"/>
    <n v="10195781"/>
    <s v="美食作家王刚R小店"/>
    <s v="头部UP主"/>
    <m/>
    <m/>
    <n v="84781.375"/>
    <m/>
  </r>
  <r>
    <s v="生活"/>
    <n v="67141499"/>
    <s v="大漠叔叔"/>
    <n v="6477497"/>
    <s v="漠叔海选"/>
    <n v="409715"/>
    <n v="3313328"/>
    <m/>
    <m/>
    <m/>
    <s v="百万级"/>
    <m/>
    <m/>
    <s v="三农圈层"/>
    <m/>
    <m/>
    <s v="马匀涵"/>
    <m/>
    <x v="2"/>
    <x v="3"/>
    <m/>
    <m/>
    <s v="头部UP主"/>
    <m/>
    <m/>
    <m/>
    <m/>
  </r>
  <r>
    <s v="生活"/>
    <n v="67141499"/>
    <s v="大漠叔叔"/>
    <n v="6477497"/>
    <s v="漠叔海选"/>
    <n v="1750000"/>
    <n v="4275589.62"/>
    <m/>
    <m/>
    <m/>
    <s v="百万级"/>
    <m/>
    <m/>
    <s v="10-50w新增"/>
    <m/>
    <m/>
    <s v="布布"/>
    <m/>
    <x v="2"/>
    <x v="3"/>
    <m/>
    <m/>
    <s v="头部UP主"/>
    <m/>
    <m/>
    <m/>
    <m/>
  </r>
  <r>
    <s v="游戏"/>
    <n v="63231"/>
    <s v="泛式"/>
    <n v="6221198"/>
    <s v="泛式的泛卖屋"/>
    <n v="755760"/>
    <n v="174147.37"/>
    <m/>
    <n v="0"/>
    <s v="是"/>
    <s v="十万级"/>
    <s v="服装配饰"/>
    <s v="试水做判断（有收入）"/>
    <s v="头部UP主客制化"/>
    <s v="P0"/>
    <s v="阿哩布布"/>
    <s v="北极果"/>
    <s v="已建联"/>
    <x v="1"/>
    <x v="2"/>
    <m/>
    <m/>
    <s v="头部UP主"/>
    <s v="不看好：重点经营竞媒/淘宝"/>
    <m/>
    <m/>
    <s v="1、成本顾虑：跟淘宝相比，平台提点5%偏高_x000a_2、期待政策：希望平台补贴以抢占用户"/>
  </r>
  <r>
    <s v="美食"/>
    <n v="250858633"/>
    <s v="华农兄弟"/>
    <n v="6216987"/>
    <s v="华农兄弟"/>
    <n v="3948100"/>
    <n v="2176051.98"/>
    <m/>
    <n v="0"/>
    <s v="是"/>
    <s v="百万级"/>
    <s v="生鲜农产"/>
    <s v="试水做判断（有收入）"/>
    <s v="头部UP主客制化"/>
    <s v="P1"/>
    <s v="马匀涵"/>
    <s v="老帕"/>
    <s v="已建联"/>
    <x v="0"/>
    <x v="2"/>
    <m/>
    <m/>
    <s v="头部UP主"/>
    <s v="不看好：观望/不投资源"/>
    <s v="组品"/>
    <m/>
    <s v="拒绝开店，团队有分工争议，要明年再说了；11月才上品，内部讨论下再看"/>
  </r>
  <r>
    <s v="知识"/>
    <n v="2000819931"/>
    <s v="中国国家地理"/>
    <n v="6041060"/>
    <s v="中国国家地理旗舰店"/>
    <n v="625000"/>
    <n v="456539.86"/>
    <m/>
    <m/>
    <m/>
    <s v="十万级"/>
    <m/>
    <m/>
    <s v="10-50w新增"/>
    <m/>
    <m/>
    <s v="布布"/>
    <m/>
    <x v="2"/>
    <x v="3"/>
    <m/>
    <m/>
    <s v="头部UP主"/>
    <m/>
    <m/>
    <m/>
    <m/>
  </r>
  <r>
    <s v="美食"/>
    <n v="419872064"/>
    <s v="老饭骨"/>
    <n v="5230000"/>
    <s v="老饭骨旗舰店/老饭骨"/>
    <n v="20832110"/>
    <n v="1338125.81"/>
    <n v="530039.23"/>
    <n v="2.4812074117319512E-2"/>
    <s v="是"/>
    <s v="百万级"/>
    <s v="食品"/>
    <s v="重要收入来源（超过50%）"/>
    <s v="头部UP主客制化"/>
    <s v="P0"/>
    <s v="E"/>
    <s v="老帕"/>
    <s v="已建联"/>
    <x v="0"/>
    <x v="0"/>
    <n v="10626360"/>
    <s v="老饭骨官方旗舰店"/>
    <s v="头部UP主"/>
    <m/>
    <m/>
    <n v="26561.285"/>
    <s v="开始带货；直播店播本周播2场，本周团队核心出差，核心主播常亮开播时间未定，带货视频暂定周日发布  历史文档老饭骨--B站电商运营方案7.30"/>
  </r>
  <r>
    <s v="影视"/>
    <n v="7487399"/>
    <s v="努力的Lorre"/>
    <n v="4963269"/>
    <s v="努力的Lorre周边店"/>
    <n v="255320"/>
    <n v="212919.6"/>
    <m/>
    <n v="0"/>
    <s v="是"/>
    <s v="十万以下"/>
    <s v="服装配饰"/>
    <s v="试水做判断（有收入）"/>
    <s v="头部UP主客制化"/>
    <s v="P2"/>
    <s v="老帕"/>
    <s v="老帕"/>
    <s v="已建联"/>
    <x v="1"/>
    <x v="2"/>
    <m/>
    <m/>
    <s v="头部UP主"/>
    <s v="不看好：观望/不投资源"/>
    <s v="强切"/>
    <m/>
    <s v="东华姐9.23刚生娃，要等一等了"/>
  </r>
  <r>
    <s v="生活"/>
    <n v="53456"/>
    <s v="Warma"/>
    <n v="4932643"/>
    <s v="沃玛养鸡场"/>
    <n v="1541200"/>
    <n v="148248.10999999999"/>
    <m/>
    <n v="0"/>
    <s v="否"/>
    <s v="十万级"/>
    <s v="礼品文创"/>
    <s v="试水做判断（有收入）"/>
    <s v="头部UP主客制化"/>
    <s v="P2"/>
    <s v="马鹿"/>
    <s v="北极果"/>
    <s v="已建联"/>
    <x v="1"/>
    <x v="2"/>
    <m/>
    <m/>
    <s v="头部UP主"/>
    <s v="不看好：观望/不投资源"/>
    <m/>
    <m/>
    <s v="1、产能顾虑：担心货盘供给不足，有流量但没货可卖_x000a_2、成本顾虑：_x000a_--娃娃类目扣点8%相对淘宝偏高，影响利润_x000a_--ERP接入+客服培训也需要消耗额外的精力"/>
  </r>
  <r>
    <s v="美食"/>
    <n v="447317111"/>
    <s v="meetfood觅食"/>
    <n v="4927000"/>
    <s v="觅食小卖部"/>
    <n v="2692960"/>
    <n v="285555.87"/>
    <n v="21464.94"/>
    <n v="7.9077301728593744E-3"/>
    <s v="是"/>
    <s v="十万级"/>
    <s v="食品"/>
    <s v="试水做判断（有收入）"/>
    <s v="头部UP主客制化"/>
    <s v="P2"/>
    <s v="老帕"/>
    <s v="老帕"/>
    <s v="已建联"/>
    <x v="0"/>
    <x v="1"/>
    <n v="10627046"/>
    <s v="觅食小卖部"/>
    <s v="头部UP主"/>
    <m/>
    <m/>
    <n v="1695.325"/>
    <s v="本周在忙拍摄计划，店先开了"/>
  </r>
  <r>
    <s v="知识"/>
    <n v="11021614"/>
    <s v="我是瑞斯拜"/>
    <n v="4830074"/>
    <s v="我是瑞斯拜的英语店铺"/>
    <n v="1660900"/>
    <n v="1217860"/>
    <n v="930200"/>
    <n v="0.35899810891127321"/>
    <s v="是"/>
    <s v="百万级"/>
    <s v="图书教育"/>
    <s v="稳定的收入来源之一（~30%））"/>
    <s v="头部UP主客制化"/>
    <s v="P1"/>
    <s v="E"/>
    <s v="老帕"/>
    <s v="已建联"/>
    <x v="0"/>
    <x v="0"/>
    <n v="10210141"/>
    <s v="我是瑞斯拜的小店"/>
    <s v="头部UP主"/>
    <m/>
    <m/>
    <n v="8130"/>
    <m/>
  </r>
  <r>
    <s v="美食"/>
    <n v="11429061"/>
    <s v="夏叔厨房"/>
    <n v="4660600"/>
    <s v="优膳企业店"/>
    <m/>
    <n v="122218"/>
    <m/>
    <m/>
    <s v="否"/>
    <s v="百万级"/>
    <m/>
    <m/>
    <s v="三农圈层"/>
    <m/>
    <m/>
    <s v="马匀涵"/>
    <m/>
    <x v="2"/>
    <x v="3"/>
    <m/>
    <m/>
    <s v="头部UP主"/>
    <m/>
    <m/>
    <m/>
    <m/>
  </r>
  <r>
    <s v="美食"/>
    <n v="2920960"/>
    <s v="大祥哥来了"/>
    <n v="4553311"/>
    <s v="大祥哥来了"/>
    <n v="1749300"/>
    <n v="1133343.77"/>
    <n v="21570.400000000001"/>
    <n v="1.2180676801645113E-2"/>
    <s v="是"/>
    <s v="十万级"/>
    <s v="食品"/>
    <s v="试水做判断（有收入）"/>
    <s v="头部UP主客制化"/>
    <s v="P1"/>
    <s v="老帕"/>
    <s v="老帕"/>
    <s v="已建联"/>
    <x v="0"/>
    <x v="1"/>
    <n v="10627538"/>
    <s v="祥哥的小店"/>
    <s v="头部UP主"/>
    <m/>
    <m/>
    <n v="1611.65"/>
    <s v="可以开，已提供营业执照"/>
  </r>
  <r>
    <s v="科技"/>
    <n v="25876945"/>
    <s v="极客湾Geekerwan"/>
    <n v="4440296"/>
    <s v="极客湾的店"/>
    <n v="71401"/>
    <n v="6473469.3600000003"/>
    <m/>
    <n v="0"/>
    <s v="是"/>
    <s v="十万级"/>
    <s v="服装配饰"/>
    <s v="试水做判断（有收入）"/>
    <s v="头部UP主客制化"/>
    <s v="P2"/>
    <s v="老帕"/>
    <s v="老帕"/>
    <s v="已建联"/>
    <x v="1"/>
    <x v="2"/>
    <m/>
    <m/>
    <s v="头部UP主"/>
    <s v="电商业务在收缩"/>
    <s v="强切"/>
    <m/>
    <s v="淘宝店是周边，现在已经不做了，暂停了；联名品暂时也没想法"/>
  </r>
  <r>
    <s v="生活"/>
    <n v="347667464"/>
    <s v="老爸评测"/>
    <n v="4402422"/>
    <s v="老爸评测会员店"/>
    <n v="204060000"/>
    <n v="739151.22"/>
    <n v="519301.1"/>
    <n v="2.538385345964993E-3"/>
    <s v="是"/>
    <s v="十万以下"/>
    <s v="家居日用"/>
    <s v="重要收入来源（超过50%）"/>
    <s v="头部UP主客制化"/>
    <s v="P1"/>
    <s v="马鹿"/>
    <s v="北极果"/>
    <s v="已建联"/>
    <x v="0"/>
    <x v="0"/>
    <n v="10202812"/>
    <s v="老爸测评的店"/>
    <s v="头部UP主"/>
    <m/>
    <m/>
    <n v="13413.85"/>
    <s v="配合度：一般_x000a_外站：精力80%抖音，其他平台瓜分20%_x000a_团队：等级分明，只能对接到电商团队-1，很难调度企业资源做业务_x000a_电商重点：没有对接上核心KP，没有重点做B站，不把B站作为重点，内部百万也无法激起兴趣_x000a__x000a_80%~90%精力在抖音，10%左右在小红书/淘宝，对方是电商团队的-1，资源调动能力弱。对方老板给B站电商没有拍目标。对B站本身是观望状态，B站月100万的目标可能也满足不了。"/>
  </r>
  <r>
    <s v="游戏"/>
    <n v="3066511"/>
    <s v="特效小哥studio"/>
    <n v="4280565"/>
    <s v="特效小哥GOODS"/>
    <n v="104310"/>
    <n v="138665.49"/>
    <n v="0"/>
    <n v="0"/>
    <s v="是"/>
    <s v="十万级"/>
    <s v="模玩手办"/>
    <s v="试水做判断（有收入）"/>
    <s v="头部UP主客制化"/>
    <s v="P0"/>
    <s v="老帕"/>
    <s v="老帕"/>
    <s v="已建联"/>
    <x v="0"/>
    <x v="4"/>
    <n v="10626834"/>
    <s v="特效小哥Goods"/>
    <s v="头部UP主"/>
    <m/>
    <m/>
    <n v="0"/>
    <m/>
  </r>
  <r>
    <s v="运动"/>
    <n v="66391032"/>
    <s v="帅soserious"/>
    <n v="4232000"/>
    <s v="Driotopia"/>
    <n v="14401000"/>
    <n v="0"/>
    <n v="0"/>
    <n v="0"/>
    <s v="是"/>
    <s v="十万以下"/>
    <s v="服装配饰"/>
    <s v="重要收入来源（超过50%）"/>
    <s v="头部UP主客制化"/>
    <s v="P0"/>
    <s v="马鹿"/>
    <s v="北极果"/>
    <s v="已建联"/>
    <x v="1"/>
    <x v="2"/>
    <m/>
    <m/>
    <s v="头部UP主"/>
    <s v="不看好：观望/不投资源"/>
    <s v="交易和主站建联均经纪公司，非本人"/>
    <m/>
    <s v="主要沟通的商家对接人（决策人），态度差_x000a_对方的配合度：主要没有建联到本人_x000a__x000a_没有建联到本人，国内对接人"/>
  </r>
  <r>
    <s v="美食"/>
    <n v="476704454"/>
    <s v="小文哥吃吃吃"/>
    <n v="4160237"/>
    <s v="小文哥吃吃吃"/>
    <n v="20512180"/>
    <n v="1408308.02"/>
    <n v="255642.65"/>
    <n v="1.230955475248148E-2"/>
    <s v="是"/>
    <s v="百万级"/>
    <s v="食品"/>
    <s v="稳定的收入来源之一（~30%））"/>
    <s v="头部UP主客制化"/>
    <s v="P1"/>
    <s v="马匀涵"/>
    <s v="老帕"/>
    <s v="已建联"/>
    <x v="0"/>
    <x v="0"/>
    <n v="5339001"/>
    <s v="小文哥吃吃吃"/>
    <s v="头部UP主"/>
    <m/>
    <m/>
    <n v="14547.625"/>
    <s v="1、激励活动无效果，想要主页推荐这样的诱惑，现金激励也没有，从上次重心移到小店的时候，不管是拍视频还是做商详改造和分销，都看不到明显的效果_x000a_2、分销这块，播得很差，主推的品都没有讲得很详细，也没有很好地做预热，一个品的介绍时长也不够，没有转化，B站用户对于B站电商的接受度还没有达到预期，抖音UP的分销也比B站好，一个晚上出300-500单，虽然在分销上帮忙牵线，感觉到B站有在做功，但是没有任何结果，不知道是用户不行，还是平台不行，还是品不行，不知道B站要怎么做才能更好出单。寄样是小钱没什么关系，但是目前没有看到有一个能转化的_x000a_4、之后带货计划，就比较稳定的做这几款，还是想要做分销，视频带货也行"/>
  </r>
  <r>
    <s v="游戏"/>
    <n v="16794231"/>
    <s v="靠脸吃饭的徐大王"/>
    <n v="3728503"/>
    <s v="徐大王食品企业店"/>
    <n v="0"/>
    <n v="1071"/>
    <n v="0"/>
    <e v="#DIV/0!"/>
    <s v="是"/>
    <s v="十万以下"/>
    <s v="食品"/>
    <s v="试水做判断（有收入）"/>
    <s v="头部UP主客制化"/>
    <s v="P2"/>
    <s v="马匀涵"/>
    <s v="老帕"/>
    <s v="已建联"/>
    <x v="0"/>
    <x v="2"/>
    <n v="9242362"/>
    <s v="徐大王食品旗舰店"/>
    <s v="头部UP主"/>
    <m/>
    <m/>
    <n v="0"/>
    <s v="视频偶尔更新，已退休"/>
  </r>
  <r>
    <s v="知识"/>
    <n v="326427334"/>
    <s v="星球研究所"/>
    <n v="3632176"/>
    <s v="星球研究所"/>
    <n v="100000"/>
    <n v="93534.47"/>
    <m/>
    <n v="0"/>
    <s v="是"/>
    <s v="十万级"/>
    <s v="礼品文创"/>
    <s v="稳定的收入来源之一（~30%））"/>
    <s v="头部UP主客制化"/>
    <s v="P2"/>
    <s v="E"/>
    <s v="老帕"/>
    <s v="已建联"/>
    <x v="0"/>
    <x v="2"/>
    <n v="10654152"/>
    <s v="星球研究所"/>
    <s v="头部UP主"/>
    <s v="不看好：观望/不投资源"/>
    <s v="已开店，在等上传商品"/>
    <m/>
    <s v="精力有限，业务规模不大，暂时不开店经营"/>
  </r>
  <r>
    <s v="美食"/>
    <n v="50660116"/>
    <s v="上班族的便当"/>
    <n v="3334773"/>
    <s v="好饭当当"/>
    <n v="68423"/>
    <n v="165692.69"/>
    <m/>
    <n v="0"/>
    <s v="是"/>
    <s v="十万级"/>
    <s v="食品"/>
    <s v="试水做判断（有收入）"/>
    <s v="头部UP主客制化"/>
    <s v="P2"/>
    <s v="E"/>
    <s v="老帕"/>
    <s v="已建联"/>
    <x v="0"/>
    <x v="2"/>
    <n v="10651820"/>
    <s v="好饭当当"/>
    <s v="头部UP主"/>
    <s v="不看好：观望/不投资源"/>
    <m/>
    <m/>
    <m/>
  </r>
  <r>
    <s v="知识"/>
    <n v="680677803"/>
    <s v="王小七Fire"/>
    <n v="3284886"/>
    <s v="王小七全国水果严选"/>
    <n v="1593300"/>
    <n v="224279.15"/>
    <n v="158255.4"/>
    <n v="9.0351352860434789E-2"/>
    <s v="是"/>
    <s v="十万级"/>
    <s v="生鲜农产"/>
    <s v="稳定的收入来源之一（~30%））"/>
    <s v="头部UP主客制化"/>
    <s v="P1"/>
    <s v="E"/>
    <s v="北极果"/>
    <s v="已建联"/>
    <x v="0"/>
    <x v="0"/>
    <n v="10628345"/>
    <s v="王小七全国水果严选"/>
    <s v="头部UP主"/>
    <m/>
    <m/>
    <n v="17572"/>
    <s v="1. 视频：_x000a_不做深度种草，缺剪辑_x000a_植入带货方面只愿意做视频后段的轻度植入_x000a_2. 直播：_x000a_短期内想维持现状：B站直播频率为一周一次_x000a_愿意调整：看不同平台的产出效率，可能会降低抖音的带货频率，提升B站的直播频率_x000a_不会完全放弃抖音：坚持多平台发展_x000a_3. 愿尝试“满减”模式测试效率，初期可提供一定让利"/>
  </r>
  <r>
    <s v="汽车"/>
    <n v="25150941"/>
    <s v="极速拍档"/>
    <n v="3169220"/>
    <s v="极速拍档Speedsters"/>
    <n v="4113100"/>
    <n v="251600.43"/>
    <n v="8350.06"/>
    <n v="2.0260005285615422E-3"/>
    <s v="是"/>
    <s v="十万级"/>
    <s v="服装配饰"/>
    <s v="试水做判断（有收入）"/>
    <s v="头部UP主客制化"/>
    <s v="P0"/>
    <s v="阿哩布布"/>
    <s v="北极果"/>
    <s v="已建联"/>
    <x v="0"/>
    <x v="1"/>
    <n v="10626826"/>
    <s v="极速拍档Speedsters"/>
    <s v="头部UP主"/>
    <m/>
    <m/>
    <n v="88.212500000000006"/>
    <s v="1、配合度：一般，重点不在B站，没有优惠价格，但是可以对齐其他品台_x000a_2、新品：3月有新品上_x000a_3、开闭环：开闭环都挂，因为只挂闭环效果不好（开环也一般，会自己加上开环链接）_x000a_4、外站：不做抖音，只做淘宝_x000a_5、团队：线下沟通过，回复慢，每日6点下班，下班后不回复_x000a_6、电商重点：电商非重点，电商意识弱_x000a__x000a_配合度一般，重心不在B站，3月有新品衣服。开闭环都挂，说是尝试过闭环，效果不好。为了拿流量可能会先挂闭环，品就差。沟通费劲，业务重心不在电商，负责电商的人不上心，公司6点下班，下班后不管事。也想做好电商，但不专业"/>
  </r>
  <r>
    <s v="科技"/>
    <n v="19319172"/>
    <s v="差评君"/>
    <n v="3140000"/>
    <s v="DEBUG THE WORLD"/>
    <n v="210910"/>
    <n v="144705.49"/>
    <m/>
    <n v="0"/>
    <s v="是"/>
    <s v="十万以下"/>
    <s v="服装配饰"/>
    <s v="稳定的收入来源之一（~30%））"/>
    <s v="头部UP主客制化"/>
    <s v="P2"/>
    <s v="E"/>
    <s v="老帕"/>
    <s v="已建联"/>
    <x v="1"/>
    <x v="2"/>
    <m/>
    <m/>
    <s v="头部UP主"/>
    <s v="无客制化商品"/>
    <s v="强切"/>
    <m/>
    <s v="业务收缩，客制化品牌团队已经在裁员了，暂时不开新店"/>
  </r>
  <r>
    <s v="知识"/>
    <n v="1858861103"/>
    <s v="迷因水母"/>
    <n v="3093000"/>
    <s v="迷因水母MEMEPOP"/>
    <n v="0"/>
    <n v="51994.7"/>
    <n v="14602"/>
    <n v="1"/>
    <s v="是"/>
    <s v="十万级"/>
    <s v="礼品文创"/>
    <s v="稳定的收入来源之一（~30%））"/>
    <s v="头部UP主客制化"/>
    <s v="P1"/>
    <s v="奥粒"/>
    <s v="北极果"/>
    <s v="已建联"/>
    <x v="0"/>
    <x v="2"/>
    <n v="10287991"/>
    <s v="迷因水母MEMEPOP"/>
    <s v="头部UP主"/>
    <m/>
    <m/>
    <n v="353.25"/>
    <s v="配合度：内容方便配合比较弱，动画区_x000a_新品：站内文创周边企划可接，货池浅，只做自己内容相关IP_x000a_开闭环：闭环，ACG相关_x000a_团队：25年下半年开始做，理想形态是 摸鱼事务所，开品的质量较高，周边经营规模较小_x000a__x000a_自己的周边数量不多，只挂闭环，开环因为acg原因挂不了链。算是做周边里，有sense的，25年下半年开始做，有事情找华子"/>
  </r>
  <r>
    <s v="三农"/>
    <n v="1838326986"/>
    <s v="帅农鸟哥"/>
    <n v="3032000"/>
    <s v="帅农鸟哥的茶"/>
    <n v="6712610"/>
    <n v="2637730.2999999998"/>
    <n v="1842096.6"/>
    <n v="0.21533135923095248"/>
    <s v="是"/>
    <s v="百万级"/>
    <s v="食品"/>
    <s v="重要收入来源（超过50%）"/>
    <s v="头部UP主客制化"/>
    <s v="P1"/>
    <s v="奥粒"/>
    <s v="北极果"/>
    <s v="已建联"/>
    <x v="0"/>
    <x v="0"/>
    <n v="4840252"/>
    <s v="昌兴记茶叶旗舰店"/>
    <s v="头部UP主"/>
    <m/>
    <m/>
    <n v="12533.025"/>
    <s v="1、配合度：尚可_x000a_2、新品：春茶，每年2季，春茶上新+双11清仓；炉子手工品可能会提升产能（炉子为自己控制的生意，茶叶为团队品）_x000a_3、开闭环：开闭环都在经营，需要流量游说，愿意切闭环_x000a_4、外站：抖音占比60%-70%_x000a_5、团队：昌兴记，传统茶企工业，给东方树叶供源_x000a_6、卡点：比较传统，比较难改变现状，无法做太大的增量，约单场30W_x000a__x000a_配合度还可以，开闭环都在经营，要盯。如果给流量/客情游说帮忙，对方会挂闭环。新品春茶，昌兴记传统茶企，一大部分2B给东方树叶/奶茶，零售做昌兴记，帅农鸟哥是茶企孵化出来的账号，三九是负责人，对方很老钱，新品啥的不管。对现状很满意。炉子是鸟哥自己控制的生意，手工品没有新品计划。3~4月，一场30~40万，抖音也会卖，60%~70%在抖音，要留意货值"/>
  </r>
  <r>
    <s v="知识"/>
    <n v="395619513"/>
    <s v="旁门左道PPT"/>
    <n v="2981041"/>
    <s v="旁门左道PPT"/>
    <n v="2241600"/>
    <n v="330138.3"/>
    <m/>
    <n v="0"/>
    <s v="是"/>
    <s v="十万级"/>
    <s v="图书教育"/>
    <s v="重要收入来源（超过50%）"/>
    <s v="头部UP主客制化"/>
    <s v="P2"/>
    <s v="E"/>
    <s v="老帕"/>
    <s v="已建联"/>
    <x v="1"/>
    <x v="2"/>
    <m/>
    <m/>
    <s v="头部UP主"/>
    <s v="不看好：观望/不投资源"/>
    <s v="强切"/>
    <m/>
    <s v="拒绝入驻，之前提供了营业执照，但评估内容更多，以B站课程为主，暂时不入驻了"/>
  </r>
  <r>
    <s v="知识"/>
    <n v="11646119"/>
    <s v="正直讲史-李正Str"/>
    <n v="2875534"/>
    <m/>
    <n v="0"/>
    <n v="154962.17000000001"/>
    <m/>
    <e v="#DIV/0!"/>
    <s v="是"/>
    <s v="百万级"/>
    <m/>
    <s v="试水做判断（有收入）"/>
    <s v="头部UP主客制化"/>
    <s v="P2"/>
    <s v="E"/>
    <s v="老帕"/>
    <s v="已建联"/>
    <x v="1"/>
    <x v="2"/>
    <m/>
    <m/>
    <s v="头部UP主"/>
    <s v="无客制化商品"/>
    <s v="没有淘宝店"/>
    <m/>
    <s v="拒绝开店，没有自己的店铺；正直讲史-李正Str--B站客制化小店邀约【知识】月鹭mcn下up主，预计年底有新书，新书发布前开店 "/>
  </r>
  <r>
    <s v="人文社科"/>
    <n v="703186600"/>
    <s v="麻薯波比呀"/>
    <n v="2847000"/>
    <s v="麻薯波比的两头堵小店"/>
    <n v="144500"/>
    <n v="2931489.92"/>
    <n v="153632.07999999999"/>
    <n v="0.51531549372345309"/>
    <s v="是"/>
    <s v="十万以下"/>
    <s v="礼品文创"/>
    <s v="试水做判断（有收入）"/>
    <s v="头部UP主客制化"/>
    <s v="P2"/>
    <s v="马匀涵"/>
    <s v="老帕"/>
    <s v="已建联"/>
    <x v="0"/>
    <x v="1"/>
    <n v="10627525"/>
    <s v="麻薯波比的两头堵小店"/>
    <s v="头部UP主"/>
    <m/>
    <m/>
    <n v="1536.54"/>
    <s v="1、对现有激励政策的感受_x000a_--平台政策 “断断续续” ，不同政策间差异大，跟自身营销节奏脱节。_x000a_--UP主备货周期长（约1个月），而政策窗口期短，所以就索性没有太关注政策_x000a_2、对内容调整的意愿与前提_x000a_意愿：愿意配合发布动态视频等带货动作。_x000a_障碍：① 产能有限，仅有5个SKU；② 粉丝对现有商品已非常熟悉，无需额外讲解；③ 主视频流量已足够大，缺乏发布动态的额外动机。_x000a_3、对平台支持的核心诉求_x000a_需要生态合作：由于其团队规模小，最希望平台能牵线，进行“新品研发”层面的深度合作（例如，与“行走社”等出版机构合作开发产品），解决其供应链端的问题。_x000a_4、带货规划_x000a_长期：2026年计划上线 5-10个文创类新品。_x000a_短期：将于1月底至2月初，尝试使用动态视频进行带货_x000a_（愿意做动态视频是否因为激励因素：不全是，比起小额激励，更看重“动态视频”这一形式的潜力，需要进一步观察流量和转化）"/>
  </r>
  <r>
    <s v="生活"/>
    <n v="50316381"/>
    <s v="疆域阿力木"/>
    <n v="2657164"/>
    <s v="疆域阿力木"/>
    <n v="3910840"/>
    <n v="114758.91"/>
    <n v="75763.100000000006"/>
    <n v="1.9004425095640948E-2"/>
    <s v="是"/>
    <s v="十万级"/>
    <s v="食品"/>
    <s v="重要收入来源（超过50%）"/>
    <s v="头部UP主客制化"/>
    <s v="P1"/>
    <s v="阿哩布布"/>
    <s v="北极果"/>
    <s v="已建联"/>
    <x v="0"/>
    <x v="4"/>
    <n v="2954611"/>
    <s v="技能包疆域阿力木"/>
    <s v="头部UP主"/>
    <m/>
    <m/>
    <n v="0"/>
    <s v="有小店意愿，但账号当前舆情严重，已断更三个月，后续舆情解决再做小店，舆情未解决这个账号也废了_x000a__x000a_因舆情原因，店铺运营动作停滞，暂hold。"/>
  </r>
  <r>
    <s v="美食"/>
    <n v="5957440"/>
    <s v="曼食慢语"/>
    <n v="2606515"/>
    <s v="曼食慢语旗舰店/曼食慢语严选店/whittard食品旗舰店"/>
    <n v="1874000"/>
    <n v="169.2"/>
    <m/>
    <n v="0"/>
    <s v="是"/>
    <s v="十万以下"/>
    <s v="食品"/>
    <s v="稳定的收入来源之一（~30%））"/>
    <s v="头部UP主客制化"/>
    <s v="P2"/>
    <s v="阿哩布布"/>
    <s v="北极果"/>
    <s v="已建联"/>
    <x v="1"/>
    <x v="2"/>
    <m/>
    <m/>
    <s v="头部UP主"/>
    <s v="不看好：重点经营竞媒/淘宝"/>
    <m/>
    <m/>
    <s v="1、GMV顾虑：没有厨具类目带货案例，担心投入后GMV产出小_x000a_2、接单顾虑：怕带货视频拉低播放量，影响花火商单"/>
  </r>
  <r>
    <s v="知识"/>
    <n v="2742391"/>
    <s v="FREE高考英语"/>
    <n v="2589799"/>
    <s v="FREENMET"/>
    <n v="12629000"/>
    <n v="3008907.87"/>
    <m/>
    <n v="0"/>
    <s v="是"/>
    <s v="百万级"/>
    <s v="图书教育"/>
    <s v="稳定的收入来源之一（~30%））"/>
    <s v="头部UP主客制化"/>
    <s v="P0"/>
    <s v="E"/>
    <s v="老帕"/>
    <s v="已建联"/>
    <x v="0"/>
    <x v="2"/>
    <n v="10655580"/>
    <s v="FREE NMET"/>
    <s v="头部UP主"/>
    <s v="不看好：观望/不投资源"/>
    <s v="等师弟批"/>
    <m/>
    <s v="周四内部组会沟通，周五给反馈；还在评估中，开店概率50%；FREE高考英语--B站客制化小店邀约已电话沟通，内部评估中，主要评估成本（现有1人）和用户体验；书籍单独沟通外，预计有可能12月底尝试日历周边商品"/>
  </r>
  <r>
    <s v="美食"/>
    <n v="1711342368"/>
    <s v="SERGEY谢尔盖"/>
    <n v="2578428"/>
    <s v="谢尔盖厨房"/>
    <n v="240410"/>
    <n v="219527.75"/>
    <m/>
    <n v="0"/>
    <s v="是"/>
    <s v="十万级"/>
    <s v="食品"/>
    <s v="稳定的收入来源之一（~30%））"/>
    <s v="头部UP主客制化"/>
    <s v="P2"/>
    <s v="雪如"/>
    <s v="老帕"/>
    <s v="已建联"/>
    <x v="1"/>
    <x v="2"/>
    <m/>
    <m/>
    <s v="头部UP主"/>
    <s v="不看好：观望/不投资源"/>
    <m/>
    <m/>
    <s v="因UP主为外国人身份认证卡住了，无法进行个人认证，入驻失败无解决"/>
  </r>
  <r>
    <s v="游戏"/>
    <n v="43536"/>
    <s v="黑桐谷歌"/>
    <n v="2553236"/>
    <s v="甜露的杂七杂八"/>
    <n v="51170"/>
    <n v="176735.42"/>
    <m/>
    <m/>
    <m/>
    <s v="十万级"/>
    <m/>
    <m/>
    <s v="10-50w新增"/>
    <m/>
    <m/>
    <s v="布布"/>
    <m/>
    <x v="2"/>
    <x v="3"/>
    <m/>
    <m/>
    <s v="头部UP主"/>
    <m/>
    <m/>
    <m/>
    <m/>
  </r>
  <r>
    <s v="运动"/>
    <n v="63486758"/>
    <s v="范李猿"/>
    <n v="2550550"/>
    <s v="orbitline轨迹线"/>
    <n v="227540"/>
    <n v="89430.98"/>
    <n v="6724"/>
    <n v="2.8702660246559437E-2"/>
    <s v="是"/>
    <s v="十万以下"/>
    <s v="服装配饰"/>
    <s v="试水做判断（有收入）"/>
    <s v="头部UP主客制化"/>
    <s v="P2"/>
    <s v="老帕"/>
    <s v="老帕"/>
    <s v="已建联"/>
    <x v="0"/>
    <x v="1"/>
    <n v="10627478"/>
    <s v="orbitline轨迹线"/>
    <s v="头部UP主"/>
    <m/>
    <m/>
    <n v="374.25"/>
    <s v="可以开，28号提供营业执照"/>
  </r>
  <r>
    <s v="科技"/>
    <n v="11336264"/>
    <s v="TESTV官方频道"/>
    <n v="2535891"/>
    <s v="TESTV值不值得买"/>
    <n v="2749700"/>
    <n v="180361.29"/>
    <n v="17314.900000000001"/>
    <n v="6.2576099608281843E-3"/>
    <s v="是"/>
    <s v="十万级"/>
    <s v="3C数码"/>
    <s v="重要收入来源（超过50%）"/>
    <s v="头部UP主客制化"/>
    <s v="P2"/>
    <s v="琛"/>
    <s v="北极果"/>
    <s v="已建联"/>
    <x v="0"/>
    <x v="1"/>
    <n v="10627434"/>
    <s v="TESTV官方频道"/>
    <s v="头部UP主"/>
    <m/>
    <m/>
    <n v="1255.05"/>
    <s v="对活动的感知：群里没有仔细看，感知弱_x000a_参与活动的原则：不在稿件主页面过分商业化，害怕影响用户体验_x000a_愿意尝试的改变：在动态视频深度种草，在稿件中做啊植入，也愿意做直播提频，原则上都愿意配合B站"/>
  </r>
  <r>
    <s v="知识"/>
    <n v="400230277"/>
    <s v="水果猎人杨晓洋"/>
    <n v="2475565"/>
    <s v="每天水果优选"/>
    <n v="25835000"/>
    <n v="12276221.24"/>
    <n v="1528343"/>
    <n v="5.5853665248431085E-2"/>
    <s v="是"/>
    <s v="千万级"/>
    <s v="生鲜农产"/>
    <s v="重要收入来源（超过50%）"/>
    <s v="头部UP主客制化"/>
    <s v="P0"/>
    <s v="马匀涵"/>
    <s v="老帕"/>
    <s v="已建联"/>
    <x v="0"/>
    <x v="0"/>
    <n v="2950464"/>
    <s v="水果猎人杨晓洋小店"/>
    <s v="头部UP主"/>
    <m/>
    <s v="先攒个版本"/>
    <n v="189691.17499999999"/>
    <s v="客情不够好，下一步要沟通拜访推进前期方案执行"/>
  </r>
  <r>
    <s v="生活"/>
    <n v="219683419"/>
    <s v="演员陆二喜"/>
    <n v="2458697"/>
    <s v="陆二喜小店企业店"/>
    <n v="27607"/>
    <n v="164959"/>
    <m/>
    <m/>
    <m/>
    <s v="十万级"/>
    <m/>
    <m/>
    <s v="三农圈层"/>
    <m/>
    <m/>
    <s v="马匀涵"/>
    <m/>
    <x v="2"/>
    <x v="3"/>
    <m/>
    <m/>
    <s v="头部UP主"/>
    <m/>
    <m/>
    <m/>
    <m/>
  </r>
  <r>
    <s v="生活"/>
    <n v="219683419"/>
    <s v="演员陆二喜"/>
    <n v="2458697"/>
    <s v="陆二喜小店企业店"/>
    <n v="1750"/>
    <n v="125325.73"/>
    <m/>
    <m/>
    <m/>
    <s v="十万级"/>
    <m/>
    <m/>
    <s v="10-50w新增"/>
    <m/>
    <m/>
    <s v="布布"/>
    <m/>
    <x v="2"/>
    <x v="3"/>
    <m/>
    <m/>
    <s v="头部UP主"/>
    <m/>
    <m/>
    <m/>
    <m/>
  </r>
  <r>
    <s v="生活"/>
    <n v="414700515"/>
    <s v="龙腾虎跃龙兽医"/>
    <n v="2455097"/>
    <s v="乡绥食品店"/>
    <n v="394630"/>
    <n v="4770378.97"/>
    <m/>
    <n v="0"/>
    <s v="是"/>
    <s v="百万级"/>
    <s v="生鲜农产"/>
    <s v="试水做判断（有收入）"/>
    <s v="头部UP主客制化"/>
    <s v="P2"/>
    <s v="马匀涵"/>
    <s v="老帕"/>
    <s v="已建联"/>
    <x v="1"/>
    <x v="2"/>
    <m/>
    <m/>
    <s v="头部UP主"/>
    <s v="无客制化商品"/>
    <s v="无店铺"/>
    <m/>
    <s v="拒绝，几乎无客制化商品。    建联到，抖音规模大于B站，且绝大部分商品为其他品牌商品，非客制化（‘没有自己的产品’）；暂时持拒绝态度，机会点是，不定期的会有政府牵头的助农项目，家乡的玉米厂等，约电话沟通中；"/>
  </r>
  <r>
    <s v="游戏"/>
    <n v="7349"/>
    <s v="STN工作室"/>
    <n v="2450559"/>
    <s v="STN的道具库"/>
    <n v="848300"/>
    <n v="298038.31"/>
    <n v="18803.349999999999"/>
    <n v="2.1685246631788471E-2"/>
    <s v="是"/>
    <s v="十万级"/>
    <s v="服装配饰"/>
    <s v="试水做判断（有收入）"/>
    <s v="头部UP主客制化"/>
    <s v="P2"/>
    <s v="老帕"/>
    <s v="老帕"/>
    <s v="已建联"/>
    <x v="0"/>
    <x v="1"/>
    <n v="10627747"/>
    <s v="STN的道具库"/>
    <s v="头部UP主"/>
    <m/>
    <m/>
    <n v="69"/>
    <s v="店铺已重新入驻，目前商品视频未制作，预计双十一内有1条视频发布联名衣服"/>
  </r>
  <r>
    <s v="美食"/>
    <n v="417298480"/>
    <s v="村驴"/>
    <n v="2423906"/>
    <s v="村驴土产"/>
    <n v="32153000"/>
    <n v="3593999.7"/>
    <n v="1023711.43"/>
    <n v="3.0856326196161511E-2"/>
    <s v="是"/>
    <s v="千万级"/>
    <s v="食品"/>
    <s v="重要收入来源（超过50%）"/>
    <s v="头部UP主客制化"/>
    <s v="P1"/>
    <s v="马匀涵"/>
    <s v="老帕"/>
    <s v="已建联"/>
    <x v="0"/>
    <x v="0"/>
    <n v="10601456"/>
    <s v="村驴食品"/>
    <s v="头部UP主"/>
    <m/>
    <s v="还没写"/>
    <n v="67565.45"/>
    <s v="村驴电商提交方案_x000a_1、人员不够，都是家里的人在做_x000a_2、对政策没有仔细看，因为目前确实忙不过来，工厂也经常爆单供不了货_x000a_3、年后再规划，有一些初步的想法，现在还是保持现有的带货频率，不会受政策影响力，需要进一步观察流量和转化）"/>
  </r>
  <r>
    <s v="付费"/>
    <n v="48133212"/>
    <s v="小黑课堂计算机二级"/>
    <n v="2409826"/>
    <s v="小黑课堂旗舰店"/>
    <n v="1330590"/>
    <n v="111615.03999999999"/>
    <m/>
    <n v="0"/>
    <s v="是"/>
    <s v="十万级"/>
    <s v="图书教育"/>
    <s v="稳定的收入来源之一（~30%））"/>
    <s v="头部UP主客制化"/>
    <s v="P2"/>
    <s v="E"/>
    <s v="老帕"/>
    <s v="已建联"/>
    <x v="1"/>
    <x v="2"/>
    <m/>
    <m/>
    <s v="头部UP主"/>
    <s v="不看好：观望/不投资源"/>
    <s v="强切"/>
    <m/>
    <s v="拒绝开店；【知识】低潜力，电话多次尝试无法接通"/>
  </r>
  <r>
    <s v="知识"/>
    <n v="7481602"/>
    <s v="安州牧"/>
    <n v="2403493"/>
    <s v="中書門下"/>
    <n v="1169700"/>
    <n v="333593.65000000002"/>
    <n v="0"/>
    <n v="0"/>
    <s v="是"/>
    <s v="十万以下"/>
    <s v="服装配饰"/>
    <s v="试水做判断（有收入）"/>
    <s v="头部UP主客制化"/>
    <s v="P1"/>
    <s v="阿哩布布"/>
    <s v="北极果"/>
    <s v="已建联"/>
    <x v="0"/>
    <x v="2"/>
    <n v="10627485"/>
    <s v="中書門下"/>
    <s v="头部UP主"/>
    <m/>
    <m/>
    <n v="0"/>
    <s v="配合度：一般_x000a_新品：男装做得不好，目前主要for行走社_x000a_开闭环：不挂闭环，开环挂链小，基本无带货动作_x000a_电商重点：没有明确产品企划_x000a__x000a_配合度一般，对方很忙。品牌想做，但在服装领域没有经验，感觉会倒闭，抖音1场也就一两千。目前基本没有带货动作，刚开始做"/>
  </r>
  <r>
    <s v="美食"/>
    <n v="1984198637"/>
    <s v="西班牙陈挺"/>
    <n v="2403362"/>
    <m/>
    <m/>
    <n v="135732"/>
    <m/>
    <m/>
    <m/>
    <s v="百万级"/>
    <m/>
    <m/>
    <s v="三农圈层"/>
    <m/>
    <m/>
    <s v="马匀涵"/>
    <m/>
    <x v="2"/>
    <x v="3"/>
    <m/>
    <m/>
    <s v="头部UP主"/>
    <m/>
    <m/>
    <m/>
    <m/>
  </r>
  <r>
    <s v="美食"/>
    <n v="17546432"/>
    <s v="马壮实"/>
    <n v="2317000"/>
    <s v="Wmix 点心商店"/>
    <n v="23369800"/>
    <n v="926181.68"/>
    <n v="531722.5"/>
    <n v="2.2246386187323424E-2"/>
    <s v="是"/>
    <s v="十万级"/>
    <s v="食品"/>
    <s v="重要收入来源（超过50%）"/>
    <s v="头部UP主客制化"/>
    <s v="P0"/>
    <s v="老帕"/>
    <s v="老帕"/>
    <s v="已建联"/>
    <x v="0"/>
    <x v="0"/>
    <n v="10193971"/>
    <s v="Wmix点心商店"/>
    <s v="头部UP主"/>
    <m/>
    <m/>
    <n v="14917.3"/>
    <s v="马壮实&amp;Wmix_B站电商提效方案_202507 店铺名称：Wmix点心商店"/>
  </r>
  <r>
    <s v="游戏"/>
    <n v="51896064"/>
    <s v="罗汉解说"/>
    <n v="2268701"/>
    <s v="太行严选"/>
    <n v="0"/>
    <n v="503139.53"/>
    <n v="81478.399999999994"/>
    <n v="1"/>
    <s v="是"/>
    <s v="十万级"/>
    <s v="家居日用"/>
    <m/>
    <s v="Allen交接 原生UP主"/>
    <s v="P1"/>
    <m/>
    <s v="北极果"/>
    <s v="已建联"/>
    <x v="0"/>
    <x v="0"/>
    <n v="10626804"/>
    <s v="太行严选官方旗舰店"/>
    <s v="头部UP主"/>
    <m/>
    <m/>
    <n v="3882.25"/>
    <s v="小店运营现状（意愿、能力、配合度）：配合度高，在电商方面需要更多指导_x000a__x000a_增长卡点及诉求（if有）：团队人员2人，负责上架和发货，25年10月份开店，发现电商销量不高，需要更多支持，不知道为什么粉丝转化率低"/>
  </r>
  <r>
    <s v="知识"/>
    <n v="321084528"/>
    <s v="历史老师定哥"/>
    <n v="2207863"/>
    <s v="定哥熊猫屋"/>
    <n v="885940"/>
    <n v="582994.81000000006"/>
    <n v="570486.93999999994"/>
    <n v="0.39170309497296169"/>
    <s v="是"/>
    <s v="十万级"/>
    <s v="图书教育"/>
    <s v="稳定的收入来源之一（~30%））"/>
    <s v="头部UP主客制化"/>
    <s v="P1"/>
    <s v="阿哩布布"/>
    <s v="北极果"/>
    <s v="已建联"/>
    <x v="0"/>
    <x v="0"/>
    <n v="8440017"/>
    <s v="定哥熊猫屋"/>
    <s v="头部UP主"/>
    <m/>
    <m/>
    <n v="10812.945"/>
    <s v="双11：旧书做大促活动+新书发布（时间未定，十月下旬），走直播+视频带货"/>
  </r>
  <r>
    <s v="知识"/>
    <n v="2064569539"/>
    <s v="考研英语大雁"/>
    <n v="2189000"/>
    <s v="学丞图书旗舰店"/>
    <n v="108684000"/>
    <n v="1774936.29"/>
    <n v="6966292.4800000004"/>
    <n v="6.0235839707925662E-2"/>
    <s v="是"/>
    <s v="百万级"/>
    <s v="图书教育"/>
    <s v="重要收入来源（超过50%）"/>
    <s v="头部UP主客制化"/>
    <s v="P0"/>
    <s v="奥粒"/>
    <s v="北极果"/>
    <s v="已建联"/>
    <x v="0"/>
    <x v="0"/>
    <n v="4864956"/>
    <s v="考研英语晓艳老师的店"/>
    <s v="头部UP主"/>
    <m/>
    <m/>
    <n v="217303.125"/>
    <s v="配合度：卖课送书做了一年，现在做卖书送课，表面配合，成效不高_x000a_新品：卖书_x000a_开闭环：抖音+淘宝一年有3E，主挂闭环（小店或课堂）_x000a_电商卡点：跟课堂有冲突，南征对接教辅，B站内部耦合，投流资源分散_x000a__x000a_课堂、南征、我们都在对接他们，不想得罪任何一方，态度友好，但实际落地的很少。卖他的书，体量大，挂链挂闭环。大概55分，资源分散在课堂、小店，说了会挂一下"/>
  </r>
  <r>
    <s v="时尚"/>
    <n v="326246517"/>
    <s v="zettaranc"/>
    <n v="2185446"/>
    <s v="zettaranc官方店铺"/>
    <n v="19415000"/>
    <n v="7158893"/>
    <n v="1116"/>
    <n v="5.7478024956175582E-5"/>
    <s v="是"/>
    <s v="百万级"/>
    <s v="服装配饰"/>
    <s v="稳定的收入来源之一（~30%））"/>
    <s v="头部UP主客制化"/>
    <s v="P0"/>
    <s v="马鹿"/>
    <s v="马鹿"/>
    <s v="已建联"/>
    <x v="0"/>
    <x v="2"/>
    <n v="10627919"/>
    <s v="zettaranc官方店铺"/>
    <s v="头部UP主"/>
    <m/>
    <m/>
    <n v="279"/>
    <s v="入驻中，老款追上架，不良人补货追下时间，新企划（凡人or其他IP，平台需帮助协调IP商务）"/>
  </r>
  <r>
    <s v="美食"/>
    <n v="338927049"/>
    <s v="燕子堡BBQ学徒Ray"/>
    <n v="2124809"/>
    <s v="Ray的国际烧烤摊"/>
    <n v="22964000"/>
    <n v="5982674.6399999997"/>
    <n v="4335056.4800000004"/>
    <n v="0.15879876592716585"/>
    <s v="是"/>
    <s v="百万级"/>
    <s v="食品"/>
    <s v="稳定的收入来源之一（~30%））"/>
    <s v="头部UP主客制化"/>
    <s v="P0"/>
    <s v="奥粒"/>
    <s v="马鹿"/>
    <s v="已建联"/>
    <x v="0"/>
    <x v="0"/>
    <n v="5167365"/>
    <s v="澳洲牛肉大使Ray的小店"/>
    <s v="头部UP主"/>
    <m/>
    <m/>
    <n v="520386.1275"/>
    <s v="上架中，双11时间和营销都没定。这周追入驻和双11"/>
  </r>
  <r>
    <s v="生活"/>
    <n v="508752914"/>
    <s v="爱画画的子衿"/>
    <n v="2050265"/>
    <s v="爱画画的子衿"/>
    <n v="375000"/>
    <n v="403232.79"/>
    <m/>
    <m/>
    <m/>
    <s v="十万级"/>
    <m/>
    <m/>
    <s v="10-50w新增"/>
    <m/>
    <m/>
    <s v="布布"/>
    <m/>
    <x v="2"/>
    <x v="3"/>
    <m/>
    <m/>
    <s v="头部UP主"/>
    <m/>
    <m/>
    <m/>
    <m/>
  </r>
  <r>
    <s v="知识"/>
    <n v="316568752"/>
    <s v="马督工"/>
    <n v="2029405"/>
    <s v="马督工小卖部"/>
    <n v="461130"/>
    <n v="1171619.47"/>
    <m/>
    <n v="0"/>
    <s v="是"/>
    <s v="十万级"/>
    <s v="食品"/>
    <s v="试水做判断（有收入）"/>
    <s v="头部UP主客制化"/>
    <s v="P2"/>
    <s v="E"/>
    <s v="老帕"/>
    <s v="已建联"/>
    <x v="3"/>
    <x v="2"/>
    <m/>
    <m/>
    <s v="头部UP主"/>
    <s v="不看好：观望/不投资源"/>
    <s v="已开白，走入驻中"/>
    <m/>
    <s v="拒绝入驻，沟通意向后一直拖沓不提交资质"/>
  </r>
  <r>
    <s v="运动"/>
    <n v="22423090"/>
    <s v="卓叔增重"/>
    <n v="1930794"/>
    <s v="卓叔瘦人增重店"/>
    <n v="8930600"/>
    <n v="1053705.8799999999"/>
    <n v="112408"/>
    <n v="1.2430377148842509E-2"/>
    <s v="是"/>
    <s v="百万级"/>
    <s v="食品"/>
    <s v="稳定的收入来源之一（~30%））"/>
    <s v="头部UP主客制化"/>
    <s v="P2"/>
    <s v="马鹿"/>
    <s v="北极果"/>
    <s v="已建联"/>
    <x v="0"/>
    <x v="4"/>
    <n v="2985875"/>
    <s v="卓叔瘦人增重店"/>
    <s v="头部UP主"/>
    <m/>
    <m/>
    <n v="73.5"/>
    <s v="一般潜力一般配合度，已入驻，商品企划不完整（增肌训练营），低优先级跟进"/>
  </r>
  <r>
    <s v="动画"/>
    <n v="8279670"/>
    <s v="李志映画"/>
    <n v="1928346"/>
    <s v="一颗柠檬宝"/>
    <n v="291740"/>
    <n v="92342.13"/>
    <n v="0"/>
    <n v="0"/>
    <s v="是"/>
    <s v="十万级"/>
    <s v="模玩手办"/>
    <s v="试水做判断（有收入）"/>
    <s v="头部UP主客制化"/>
    <s v="P2"/>
    <s v="阿哩布布"/>
    <s v="北极果"/>
    <s v="已建联"/>
    <x v="0"/>
    <x v="2"/>
    <n v="10246582"/>
    <s v="李志映画的小店"/>
    <s v="头部UP主"/>
    <m/>
    <m/>
    <n v="0"/>
    <s v="已开店但是产品未上架"/>
  </r>
  <r>
    <s v="美食"/>
    <n v="432044872"/>
    <s v="大嘴儿美食挠儿哥"/>
    <n v="1915409"/>
    <s v="挠哥厨房"/>
    <n v="35118060"/>
    <n v="6391515.71"/>
    <n v="7120662.7000000002"/>
    <n v="0.16858139273231385"/>
    <s v="是"/>
    <s v="十万级"/>
    <s v="食品"/>
    <s v="重要收入来源（超过50%）"/>
    <s v="头部UP主客制化"/>
    <s v="P0"/>
    <s v="E"/>
    <s v="老帕"/>
    <s v="已建联"/>
    <x v="0"/>
    <x v="0"/>
    <n v="10629818"/>
    <s v="挠儿哥熏酱熟食店"/>
    <s v="头部UP主"/>
    <m/>
    <s v="还没写"/>
    <n v="1034675.125"/>
    <s v="已启动带货，1.3直播单场gmv 105万"/>
  </r>
  <r>
    <s v="美食"/>
    <n v="432044872"/>
    <s v="大嘴儿美食挠儿哥"/>
    <n v="1915409"/>
    <s v="挠儿哥铺子"/>
    <n v="0"/>
    <n v="6391515.71"/>
    <n v="28375.1"/>
    <n v="1"/>
    <s v="是"/>
    <s v="十万级"/>
    <s v="食品"/>
    <s v="重要收入来源（超过50%）"/>
    <s v="头部UP主客制化"/>
    <s v="P0"/>
    <s v="E"/>
    <s v="老帕"/>
    <s v="已建联"/>
    <x v="0"/>
    <x v="0"/>
    <n v="10632060"/>
    <s v="挠儿哥铺子"/>
    <s v="头部UP主"/>
    <m/>
    <m/>
    <n v="0"/>
    <m/>
  </r>
  <r>
    <s v="知识"/>
    <n v="208130286"/>
    <s v="大物是也"/>
    <n v="1896929"/>
    <s v="大物星选"/>
    <n v="4045200"/>
    <n v="83504466.010000005"/>
    <n v="1566652.2"/>
    <n v="0.2791684713293055"/>
    <s v="是"/>
    <s v="千万级"/>
    <s v="服装配饰"/>
    <s v="稳定的收入来源之一（~30%））"/>
    <s v="头部UP主客制化"/>
    <s v="P1"/>
    <s v="阿哩布布"/>
    <s v="马鹿"/>
    <s v="已建联"/>
    <x v="0"/>
    <x v="0"/>
    <n v="10214670"/>
    <s v="大物星选COLOSSUS"/>
    <s v="头部UP主"/>
    <m/>
    <m/>
    <n v="93678.725000000006"/>
    <s v="1023-24直播两天+1111当天；双11预估小店备货300w货值，11月初参加线下小店活动.高亮产品需求和bug解决"/>
  </r>
  <r>
    <s v="汽车"/>
    <n v="50063223"/>
    <s v="备胎说车"/>
    <n v="1863686"/>
    <s v="备胎说车商城"/>
    <n v="19257600"/>
    <n v="122244.3"/>
    <n v="13600.8"/>
    <n v="7.0575778547229907E-4"/>
    <s v="是"/>
    <s v="十万级"/>
    <s v="家居日用"/>
    <s v="稳定的收入来源之一（~30%））"/>
    <s v="头部UP主客制化"/>
    <s v="P2"/>
    <s v="阿哩布布"/>
    <s v="北极果"/>
    <s v="已建联"/>
    <x v="0"/>
    <x v="1"/>
    <n v="10628513"/>
    <s v="备胎说车自营小店"/>
    <s v="头部UP主"/>
    <m/>
    <m/>
    <n v="784.6"/>
    <s v="已经入驻，接ERP"/>
  </r>
  <r>
    <s v="美食"/>
    <n v="240869947"/>
    <s v="美食强"/>
    <n v="1863333"/>
    <m/>
    <m/>
    <n v="2059156"/>
    <m/>
    <m/>
    <s v="否"/>
    <s v="百万级"/>
    <m/>
    <m/>
    <s v="三农圈层"/>
    <m/>
    <m/>
    <s v="马匀涵"/>
    <m/>
    <x v="2"/>
    <x v="3"/>
    <n v="10623565"/>
    <m/>
    <s v="头部UP主"/>
    <m/>
    <m/>
    <m/>
    <m/>
  </r>
  <r>
    <s v="游戏"/>
    <n v="8618005"/>
    <s v="凉哈皮"/>
    <n v="1847482"/>
    <s v="凉哈皮杂货铺"/>
    <n v="754990"/>
    <n v="1551330.14"/>
    <n v="43122"/>
    <n v="5.4030010825548293E-2"/>
    <s v="否"/>
    <s v="十万以下"/>
    <s v="食品"/>
    <s v="试水做判断（有收入）"/>
    <s v="头部UP主客制化"/>
    <s v="P2"/>
    <s v="阿哩布布"/>
    <s v="北极果"/>
    <s v="已建联"/>
    <x v="0"/>
    <x v="0"/>
    <n v="10197639"/>
    <s v="凉哈皮的杂货铺"/>
    <s v="头部UP主"/>
    <m/>
    <m/>
    <n v="9223.5"/>
    <s v="产品品质低，且利润低，暂不上线电商渠道，线下销售了，上架补行李箱尾款链接+26年合作鸡脚筋"/>
  </r>
  <r>
    <s v="知识"/>
    <n v="349092963"/>
    <s v="沈奕斐"/>
    <n v="1844228"/>
    <m/>
    <n v="0"/>
    <n v="1319.25"/>
    <n v="0"/>
    <e v="#DIV/0!"/>
    <s v="是"/>
    <s v="百万级"/>
    <s v="图书教育"/>
    <s v="稳定的收入来源之一（~30%））"/>
    <s v="头部UP主客制化"/>
    <s v="P2"/>
    <s v="阿哩布布"/>
    <s v="老帕"/>
    <s v="已建联"/>
    <x v="1"/>
    <x v="2"/>
    <m/>
    <m/>
    <s v="头部UP主"/>
    <s v="电商业务在收缩"/>
    <m/>
    <m/>
    <s v="没有出版物售卖资质，让出版社开通小店，做分销带货"/>
  </r>
  <r>
    <s v="美食"/>
    <n v="452606628"/>
    <s v="王师傅和小毛毛"/>
    <n v="1822065"/>
    <s v="王师傅和小毛毛"/>
    <n v="247492"/>
    <n v="316006"/>
    <m/>
    <m/>
    <m/>
    <s v="十万级"/>
    <m/>
    <m/>
    <s v="三农圈层"/>
    <s v="P0"/>
    <m/>
    <s v="马匀涵"/>
    <s v="已建联"/>
    <x v="0"/>
    <x v="0"/>
    <n v="10654107"/>
    <s v="风栖果语"/>
    <s v="头部UP主"/>
    <m/>
    <m/>
    <m/>
    <m/>
  </r>
  <r>
    <s v="美食"/>
    <n v="452606628"/>
    <s v="王师傅和小毛毛"/>
    <n v="1822065"/>
    <s v="王师傅和小毛毛"/>
    <n v="5724"/>
    <n v="342249.84"/>
    <m/>
    <m/>
    <m/>
    <s v="十万级"/>
    <m/>
    <m/>
    <s v="10-50w新增"/>
    <m/>
    <m/>
    <s v="布布"/>
    <m/>
    <x v="2"/>
    <x v="3"/>
    <m/>
    <m/>
    <s v="头部UP主"/>
    <m/>
    <m/>
    <m/>
    <m/>
  </r>
  <r>
    <s v="动画"/>
    <n v="327757321"/>
    <s v="摸鱼事务所"/>
    <n v="1784791"/>
    <s v="无用商店"/>
    <n v="2664400"/>
    <n v="6293734.5300000003"/>
    <n v="790060.21"/>
    <n v="0.22870728332980278"/>
    <s v="是"/>
    <s v="十万级"/>
    <s v="礼品文创"/>
    <s v="稳定的收入来源之一（~30%））"/>
    <s v="头部UP主客制化"/>
    <s v="P0"/>
    <s v="马鹿"/>
    <s v="马鹿"/>
    <s v="已建联"/>
    <x v="0"/>
    <x v="0"/>
    <n v="3308007"/>
    <s v="无用商店"/>
    <s v="头部UP主"/>
    <m/>
    <m/>
    <n v="2180.35"/>
    <s v="高潜，已入驻；上新ready &amp; 双11营销和形式已沟通待确定"/>
  </r>
  <r>
    <s v="美食"/>
    <n v="294675407"/>
    <s v="夏叔有好货"/>
    <n v="1749028"/>
    <s v="优膳企业店"/>
    <n v="41657"/>
    <n v="111908"/>
    <m/>
    <m/>
    <m/>
    <s v="十万级"/>
    <m/>
    <m/>
    <s v="三农圈层"/>
    <m/>
    <m/>
    <s v="马匀涵"/>
    <m/>
    <x v="2"/>
    <x v="3"/>
    <m/>
    <m/>
    <s v="头部UP主"/>
    <m/>
    <m/>
    <m/>
    <m/>
  </r>
  <r>
    <s v="美食"/>
    <n v="294675407"/>
    <s v="夏叔有好货"/>
    <n v="1749028"/>
    <s v="优膳企业店"/>
    <n v="375000"/>
    <n v="158760.38"/>
    <m/>
    <m/>
    <m/>
    <s v="十万级"/>
    <m/>
    <m/>
    <s v="10-50w新增"/>
    <m/>
    <m/>
    <s v="布布"/>
    <m/>
    <x v="2"/>
    <x v="3"/>
    <m/>
    <m/>
    <s v="头部UP主"/>
    <m/>
    <m/>
    <m/>
    <m/>
  </r>
  <r>
    <s v="生活"/>
    <n v="11164088"/>
    <s v="龙馍馍"/>
    <n v="1749000"/>
    <s v="龙馍馍"/>
    <m/>
    <m/>
    <m/>
    <m/>
    <s v="否"/>
    <s v="百万级"/>
    <m/>
    <m/>
    <s v="三农圈层"/>
    <m/>
    <m/>
    <s v="马匀涵"/>
    <m/>
    <x v="2"/>
    <x v="3"/>
    <n v="10654891"/>
    <m/>
    <s v="头部UP主"/>
    <m/>
    <m/>
    <m/>
    <m/>
  </r>
  <r>
    <s v="动物圈"/>
    <n v="298946431"/>
    <s v="香香软软的小泡芙"/>
    <n v="1742621"/>
    <s v="泡芙集装箱"/>
    <n v="38329"/>
    <n v="5241.6000000000004"/>
    <m/>
    <n v="0"/>
    <s v="是"/>
    <s v="十万以下"/>
    <s v="礼品文创"/>
    <s v="试水做判断（有收入）"/>
    <s v="头部UP主客制化"/>
    <s v="P2"/>
    <s v="老帕"/>
    <s v="老帕"/>
    <s v="已建联"/>
    <x v="1"/>
    <x v="2"/>
    <m/>
    <m/>
    <s v="头部UP主"/>
    <s v="电商业务在收缩"/>
    <s v="强切"/>
    <m/>
    <s v="店铺没库存，也没新品，暂时先不开"/>
  </r>
  <r>
    <s v="服装配饰"/>
    <n v="1343576122"/>
    <s v="城市猎人山猫"/>
    <n v="1718509"/>
    <m/>
    <n v="0"/>
    <n v="17775"/>
    <n v="20370.599999999999"/>
    <n v="1"/>
    <s v="是"/>
    <s v="十万以下"/>
    <s v="服装配饰"/>
    <m/>
    <s v="头部UP主客制化"/>
    <s v="P2"/>
    <m/>
    <s v="北极果"/>
    <s v="已建联"/>
    <x v="0"/>
    <x v="1"/>
    <n v="10583304"/>
    <s v="山猫户外用品店"/>
    <s v="头部UP主"/>
    <m/>
    <m/>
    <n v="67"/>
    <m/>
  </r>
  <r>
    <s v="生活"/>
    <n v="517661394"/>
    <s v="刘逗逗不怎么逗"/>
    <n v="1653048"/>
    <s v="种逗得逗DOUBLE DOU"/>
    <n v="290320"/>
    <n v="4997"/>
    <m/>
    <n v="0"/>
    <s v="是"/>
    <s v="十万以下"/>
    <s v="服装配饰"/>
    <s v="试水做判断（有收入）"/>
    <s v="头部UP主客制化"/>
    <s v="P2"/>
    <s v="马鹿"/>
    <s v="北极果"/>
    <s v="已建联"/>
    <x v="1"/>
    <x v="2"/>
    <m/>
    <m/>
    <s v="头部UP主"/>
    <s v="电商业务在收缩"/>
    <m/>
    <m/>
    <s v="一般潜力，拒绝入驻，品牌经营不善，闭店中，不跟进"/>
  </r>
  <r>
    <s v="美食"/>
    <n v="161419374"/>
    <s v="山药视频"/>
    <n v="1652216"/>
    <s v="山个兄弟/山药视频/山竹师兄"/>
    <n v="5000"/>
    <n v="31.18"/>
    <m/>
    <n v="0"/>
    <s v="是"/>
    <s v="十万以下"/>
    <s v="食品"/>
    <s v="试水做判断（有收入）"/>
    <s v="头部UP主客制化"/>
    <s v="P2"/>
    <s v="E"/>
    <s v="老帕"/>
    <s v="已建联"/>
    <x v="1"/>
    <x v="2"/>
    <m/>
    <m/>
    <s v="头部UP主"/>
    <s v="无客制化商品"/>
    <s v="强切"/>
    <m/>
    <s v="持续沟通，24年4月后停更，主要原因是在账号经营收益逻辑上 达人和合伙人意见不一致；尝试通过带货利益说服重新启用账号。"/>
  </r>
  <r>
    <s v="知识"/>
    <n v="417302260"/>
    <s v="众合教育"/>
    <n v="1646198"/>
    <s v="方圆众合旗舰店"/>
    <n v="6250000"/>
    <n v="5749066.3899999997"/>
    <m/>
    <m/>
    <m/>
    <s v="百万级"/>
    <m/>
    <m/>
    <s v="10-50w新增"/>
    <m/>
    <m/>
    <s v="布布"/>
    <m/>
    <x v="2"/>
    <x v="3"/>
    <m/>
    <m/>
    <s v="头部UP主"/>
    <m/>
    <m/>
    <m/>
    <m/>
  </r>
  <r>
    <s v="游戏"/>
    <n v="473519710"/>
    <s v="steam情报局"/>
    <n v="1639532"/>
    <s v="steam情报局"/>
    <n v="4682900"/>
    <n v="1215774.6200000001"/>
    <m/>
    <m/>
    <m/>
    <s v="百万级"/>
    <m/>
    <m/>
    <s v="10-50w新增"/>
    <m/>
    <m/>
    <s v="布布"/>
    <m/>
    <x v="2"/>
    <x v="3"/>
    <m/>
    <m/>
    <s v="头部UP主"/>
    <m/>
    <m/>
    <m/>
    <m/>
  </r>
  <r>
    <s v="美食"/>
    <n v="689222371"/>
    <s v="万能工具人阿伟"/>
    <n v="1602193"/>
    <s v="万能工具人阿伟"/>
    <n v="72992"/>
    <n v="1025402.22"/>
    <n v="978484.2"/>
    <n v="0.93058140545644308"/>
    <s v="是"/>
    <s v="百万级"/>
    <s v="食品"/>
    <s v="稳定的收入来源之一（~30%））"/>
    <s v="头部UP主客制化"/>
    <s v="P2"/>
    <s v="阿哩布布"/>
    <s v="北极果"/>
    <s v="已建联"/>
    <x v="0"/>
    <x v="0"/>
    <n v="10628620"/>
    <s v="阿伟的小店"/>
    <s v="头部UP主"/>
    <m/>
    <m/>
    <n v="125555.5"/>
    <s v="1、激励属于锦上添花，本来就要做电商，蹭上了流量，没有激励也会做_x000a_2、日常内容转型，主做电商和种草，不再纯粹做内容分享，捞出电商心智粉_x000a_3、对于用券，想要用老客券，给老客补贴，因为新客不够稳定"/>
  </r>
  <r>
    <s v="生活"/>
    <n v="22089099"/>
    <s v="手艺贾"/>
    <n v="1572858"/>
    <s v="哆啦手艺贾"/>
    <n v="3010537"/>
    <n v="917464.37"/>
    <n v="94692.2"/>
    <n v="3.0494431779786172E-2"/>
    <s v="是"/>
    <s v="十万级"/>
    <s v="模玩手办"/>
    <s v="稳定的收入来源之一（~30%））"/>
    <s v="头部UP主客制化"/>
    <s v="P1"/>
    <s v="E"/>
    <s v="老帕"/>
    <s v="已建联"/>
    <x v="0"/>
    <x v="1"/>
    <n v="10627056"/>
    <s v="哆啦手艺贾"/>
    <s v="头部UP主"/>
    <m/>
    <m/>
    <n v="133.5"/>
    <s v="做过一次深度种草视频之后，用户评论负面较多，没有继续带货动作"/>
  </r>
  <r>
    <s v="时尚"/>
    <n v="6302909"/>
    <s v="BettySays"/>
    <n v="1571930"/>
    <s v="Next Weekend 下周末"/>
    <n v="4669800"/>
    <n v="963571.08"/>
    <n v="976"/>
    <n v="2.0895885394632498E-4"/>
    <s v="是"/>
    <s v="十万级"/>
    <s v="服装配饰"/>
    <s v="重要收入来源（超过50%）"/>
    <s v="头部UP主客制化"/>
    <s v="P1"/>
    <s v="马鹿"/>
    <s v="北极果"/>
    <s v="已建联"/>
    <x v="0"/>
    <x v="2"/>
    <n v="10626635"/>
    <s v="Next Weekend下周末"/>
    <s v="头部UP主"/>
    <m/>
    <m/>
    <n v="0"/>
    <s v="已开店但是不经营"/>
  </r>
  <r>
    <s v="生活"/>
    <n v="1590082082"/>
    <s v="马俐管家"/>
    <n v="1544479"/>
    <s v="马俐管家清洁小屋"/>
    <n v="1147360"/>
    <n v="2205149.61"/>
    <m/>
    <n v="0"/>
    <s v="是"/>
    <s v="十万级"/>
    <s v="家居日用"/>
    <s v="重要收入来源（超过50%）"/>
    <s v="头部UP主客制化"/>
    <s v="P1"/>
    <s v="老帕"/>
    <s v="老帕"/>
    <s v="已建联"/>
    <x v="1"/>
    <x v="2"/>
    <m/>
    <m/>
    <s v="头部UP主"/>
    <s v="不看好：观望/不投资源"/>
    <s v="暂不强切"/>
    <m/>
    <s v="还在拖着；近期在忙双11商单，要晚一段时间"/>
  </r>
  <r>
    <s v="科技"/>
    <n v="133901828"/>
    <s v="二斤啦啦啦啦"/>
    <n v="1540276"/>
    <s v="二斤和她的主机店"/>
    <n v="1750000"/>
    <n v="30605918.140000001"/>
    <m/>
    <m/>
    <m/>
    <s v="千万级"/>
    <m/>
    <m/>
    <s v="10-50w新增"/>
    <m/>
    <m/>
    <s v="布布"/>
    <m/>
    <x v="2"/>
    <x v="3"/>
    <m/>
    <m/>
    <s v="头部UP主"/>
    <m/>
    <m/>
    <m/>
    <m/>
  </r>
  <r>
    <s v="美食"/>
    <n v="101229184"/>
    <s v="滇西小哥"/>
    <n v="1535490"/>
    <s v="滇西小哥/滇西小哥旗舰店"/>
    <n v="13527400"/>
    <n v="1642546.78"/>
    <n v="647746.6"/>
    <n v="4.5695936576768806E-2"/>
    <s v="是"/>
    <s v="百万级"/>
    <s v="食品"/>
    <s v="重要收入来源（超过50%）"/>
    <s v="头部UP主客制化"/>
    <s v="P1"/>
    <s v="马匀涵"/>
    <s v="老帕"/>
    <s v="已建联"/>
    <x v="0"/>
    <x v="0"/>
    <n v="10627745"/>
    <s v="滇西小哥旗舰店"/>
    <s v="头部UP主"/>
    <m/>
    <m/>
    <n v="40602.625"/>
    <s v="已开始带货，2条动态带货水果，1条视频带货牛干巴"/>
  </r>
  <r>
    <s v="时尚"/>
    <n v="1136220052"/>
    <s v="OliverWalsh"/>
    <n v="1535041"/>
    <s v="OliverWalsh旗舰店"/>
    <n v="1750000"/>
    <n v="91788.09"/>
    <m/>
    <m/>
    <m/>
    <s v="十万以下"/>
    <m/>
    <m/>
    <s v="10-50w新增"/>
    <m/>
    <m/>
    <s v="布布"/>
    <m/>
    <x v="2"/>
    <x v="3"/>
    <m/>
    <m/>
    <s v="头部UP主"/>
    <m/>
    <m/>
    <m/>
    <m/>
  </r>
  <r>
    <s v="生活"/>
    <n v="480366389"/>
    <s v="溫暖的冷风"/>
    <n v="1529401"/>
    <s v="冷风的水果小店"/>
    <n v="4632100"/>
    <n v="11711138.560000001"/>
    <n v="4669961"/>
    <n v="0.5020350866329516"/>
    <s v="是"/>
    <s v="千万级"/>
    <s v="生鲜农产"/>
    <s v="重要收入来源（超过50%）"/>
    <s v="头部UP主客制化"/>
    <s v="P0"/>
    <s v="马匀涵"/>
    <s v="老帕"/>
    <s v="已建联"/>
    <x v="0"/>
    <x v="0"/>
    <n v="10629267"/>
    <s v="冷风的水果小店"/>
    <s v="头部UP主"/>
    <m/>
    <m/>
    <n v="550960"/>
    <s v="已开店，下一个品是秋月梨，预计是10月初"/>
  </r>
  <r>
    <s v="美食"/>
    <n v="1905831130"/>
    <s v="厨师徐嘉乐"/>
    <n v="1505000"/>
    <s v="寻味颂旗舰店"/>
    <n v="33156200"/>
    <n v="621543.11"/>
    <n v="138491.79999999999"/>
    <n v="4.1595759718070129E-3"/>
    <s v="是"/>
    <s v="十万级"/>
    <s v="食品"/>
    <s v="重要收入来源（超过50%）"/>
    <s v="头部UP主客制化"/>
    <s v="P1"/>
    <s v="E"/>
    <s v="老帕"/>
    <s v="已建联"/>
    <x v="0"/>
    <x v="0"/>
    <n v="10628590"/>
    <s v="寻味颂"/>
    <s v="头部UP主"/>
    <m/>
    <s v="还没写"/>
    <n v="18702.924999999999"/>
    <s v="预计周四操作入驻；口头同意，还没给营业执照，再催下；拜访沟通，内部评估中"/>
  </r>
  <r>
    <s v="汽车"/>
    <n v="22184868"/>
    <s v="goodgod-auto"/>
    <n v="1420050"/>
    <s v="goodgod"/>
    <n v="220980"/>
    <n v="93811.83"/>
    <n v="118"/>
    <n v="5.3369998824050874E-4"/>
    <s v="是"/>
    <s v="十万级"/>
    <s v="服装配饰"/>
    <s v="稳定的收入来源之一（~30%））"/>
    <s v="头部UP主客制化"/>
    <s v="P2"/>
    <s v="阿哩布布"/>
    <s v="北极果"/>
    <s v="已建联"/>
    <x v="0"/>
    <x v="1"/>
    <n v="10270982"/>
    <s v="goodgod-auto的小店"/>
    <s v="头部UP主"/>
    <m/>
    <m/>
    <n v="0"/>
    <s v="已入驻"/>
  </r>
  <r>
    <s v="时尚"/>
    <n v="361775100"/>
    <s v="怪力老陈"/>
    <n v="1413595"/>
    <s v="衣唱衣合"/>
    <n v="1534200"/>
    <n v="330130.51"/>
    <m/>
    <n v="0"/>
    <s v="是"/>
    <s v="百万级"/>
    <s v="服装配饰"/>
    <s v="重要收入来源（超过50%）"/>
    <s v="头部UP主客制化"/>
    <s v="P1"/>
    <s v="马鹿"/>
    <s v="北极果"/>
    <s v="已建联"/>
    <x v="1"/>
    <x v="2"/>
    <m/>
    <m/>
    <s v="头部UP主"/>
    <s v="不看好：观望/不投资源"/>
    <m/>
    <m/>
    <s v="拒绝开店：UP主不愿多沟通，只回复不考虑"/>
  </r>
  <r>
    <s v="科技"/>
    <n v="8372353"/>
    <s v="大米评测"/>
    <n v="1403920"/>
    <s v="大米评测"/>
    <n v="3589100"/>
    <n v="20218964.579999998"/>
    <m/>
    <n v="0"/>
    <s v="是"/>
    <s v="十万级"/>
    <s v="3C数码"/>
    <s v="稳定的收入来源之一（~30%））"/>
    <s v="头部UP主客制化"/>
    <s v="P2"/>
    <s v="马匀涵"/>
    <s v="老帕"/>
    <s v="已建联"/>
    <x v="1"/>
    <x v="2"/>
    <m/>
    <m/>
    <s v="头部UP主"/>
    <s v="不看好：观望/不投资源"/>
    <s v="同意开店，等材料"/>
    <m/>
    <s v="账号不做带货内容，引流至淘宝量很小，不想再做其他平台"/>
  </r>
  <r>
    <s v="影视"/>
    <n v="2083634390"/>
    <s v="一条闲木鱼"/>
    <n v="1397823"/>
    <s v="闲海阁"/>
    <n v="3082300"/>
    <n v="2726522.33"/>
    <m/>
    <n v="0"/>
    <s v="是"/>
    <s v="十万级"/>
    <s v="生鲜农产"/>
    <s v="试水做判断（有收入）"/>
    <s v="头部UP主客制化"/>
    <s v="P2"/>
    <s v="E"/>
    <s v="老帕"/>
    <s v="已建联"/>
    <x v="3"/>
    <x v="2"/>
    <m/>
    <m/>
    <s v="头部UP主"/>
    <s v="不看好：观望/不投资源"/>
    <s v="等师弟批"/>
    <m/>
    <s v="【知识】月鹭mcn下up主，商品为海产零食，需要和up确认细节可行性（店铺为up本人的兄弟在运营，对其店铺、发货、物流、退换货等信息后评估开店）"/>
  </r>
  <r>
    <s v="美食"/>
    <n v="1908551987"/>
    <s v="段小段美食教程"/>
    <n v="1385120"/>
    <s v="段小媳的小店"/>
    <n v="2967000"/>
    <n v="1156173.23"/>
    <n v="21548.2"/>
    <n v="7.2102568062981211E-3"/>
    <s v="是"/>
    <s v="百万级"/>
    <s v="食品"/>
    <s v="稳定的收入来源之一（~30%））"/>
    <s v="头部UP主客制化"/>
    <s v="P1"/>
    <s v="阿哩布布"/>
    <s v="北极果"/>
    <s v="已建联"/>
    <x v="0"/>
    <x v="0"/>
    <n v="10629945"/>
    <s v="段小媳的小店"/>
    <s v="头部UP主"/>
    <m/>
    <m/>
    <n v="4885.125"/>
    <s v="1、愿意做深度种草视频，愿意获得平台流量，但是上一个视频的流量扶持感知弱_x000a_2、不愿意尝试直播，因为品太少_x000a_3、不愿意做稿件带货，因为转化率太低_x000a_4、激励形式更喜欢助推形式，给到初始流量，根据GPM拿到更多流量，这样有助于爆款打造_x000a_5、做B站小店的原因？其实做淘宝更赚钱，因为有评论和运费险，卖的更多，但是看重B站，愿意配合平台发电_x000a_6、不愿意做货补满减券，因为影响老客复购"/>
  </r>
  <r>
    <s v="美食"/>
    <n v="382986457"/>
    <s v="结巴老爹"/>
    <n v="1359691"/>
    <s v="结巴老爹"/>
    <n v="262140"/>
    <n v="140556.65"/>
    <n v="145847.20000000001"/>
    <n v="0.35747984250486292"/>
    <s v="是"/>
    <s v="十万以下"/>
    <s v="食品"/>
    <s v="试水做判断（有收入）"/>
    <s v="头部UP主客制化"/>
    <s v="P1"/>
    <s v="马匀涵"/>
    <s v="老帕"/>
    <s v="已建联"/>
    <x v="0"/>
    <x v="0"/>
    <n v="10626676"/>
    <s v="结巴老爹小店"/>
    <s v="头部UP主"/>
    <m/>
    <m/>
    <n v="12734.05"/>
    <s v="认为b站带货最大的问题就是这个平台的受众群体转化力极差 消费能力也不高 都是学生 没养成在b站购物的习惯 再或者是必须要单独为b站这部分用户群体单独定制符合他们的产品（但是一般博主是没有这个精力的 也不划算）"/>
  </r>
  <r>
    <s v="生活"/>
    <n v="266681803"/>
    <s v="劲小郑"/>
    <n v="1330738"/>
    <s v="寻与拾"/>
    <n v="5501"/>
    <n v="1388.55"/>
    <m/>
    <n v="0"/>
    <s v="是"/>
    <s v="十万以下"/>
    <s v="礼品文创"/>
    <s v="稳定的收入来源之一（~30%））"/>
    <s v="头部UP主客制化"/>
    <s v="P2"/>
    <s v="马匀涵"/>
    <s v="老帕"/>
    <s v="已建联"/>
    <x v="1"/>
    <x v="2"/>
    <m/>
    <m/>
    <s v="头部UP主"/>
    <s v="不看好：观望/不投资源"/>
    <s v="继续追建联"/>
    <m/>
    <s v="拒绝开店；动画的运营有建联，问了对方未回复"/>
  </r>
  <r>
    <s v="美食"/>
    <n v="415479453"/>
    <s v="主厨农国栋"/>
    <n v="1329779"/>
    <s v="农师傅的小店"/>
    <n v="12304700"/>
    <n v="2773669.89"/>
    <n v="772137.51"/>
    <n v="5.9046195948335219E-2"/>
    <s v="是"/>
    <s v="百万级"/>
    <s v="食品"/>
    <s v="稳定的收入来源之一（~30%））"/>
    <s v="头部UP主客制化"/>
    <s v="P1"/>
    <s v="马匀涵"/>
    <s v="老帕"/>
    <s v="已建联"/>
    <x v="0"/>
    <x v="0"/>
    <n v="4492164"/>
    <s v="农师傅的小店"/>
    <s v="头部UP主"/>
    <m/>
    <m/>
    <n v="16932.900000000001"/>
    <m/>
  </r>
  <r>
    <s v="动物圈"/>
    <n v="12444306"/>
    <s v="pandapia熊猫乌托邦"/>
    <n v="1311955"/>
    <s v="pandapia熊猫文创"/>
    <n v="161380"/>
    <n v="5186.71"/>
    <m/>
    <n v="0"/>
    <s v="是"/>
    <s v="十万以下"/>
    <s v="礼品文创"/>
    <s v="试水做判断（有收入）"/>
    <s v="头部UP主客制化"/>
    <s v="P2"/>
    <s v="阿哩布布"/>
    <s v="北极果"/>
    <s v="已建联"/>
    <x v="1"/>
    <x v="2"/>
    <m/>
    <m/>
    <s v="头部UP主"/>
    <s v="电商业务在收缩"/>
    <s v="建联"/>
    <m/>
    <s v="【动物】电联+微信建联无效，低潜账号，多次建联无效，视为拒绝入驻"/>
  </r>
  <r>
    <s v="动物圈"/>
    <n v="2091493365"/>
    <s v="边牧陈贝拉"/>
    <n v="1293489"/>
    <s v="陈贝拉的小店"/>
    <n v="2763400"/>
    <n v="521102.79"/>
    <m/>
    <n v="0"/>
    <s v="是"/>
    <s v="十万级"/>
    <s v="食品"/>
    <s v="重要收入来源（超过50%）"/>
    <s v="头部UP主客制化"/>
    <s v="P1"/>
    <s v="老帕"/>
    <s v="老帕"/>
    <s v="已建联"/>
    <x v="1"/>
    <x v="2"/>
    <m/>
    <m/>
    <s v="头部UP主"/>
    <s v="不看好：观望/不投资源"/>
    <s v="强切"/>
    <m/>
    <s v="消息回复慢，没拿到有效反馈"/>
  </r>
  <r>
    <s v="动物圈"/>
    <n v="1744959662"/>
    <s v="钮祜禄-安舒"/>
    <n v="1289664"/>
    <s v="舒舒窝吖"/>
    <n v="8394"/>
    <n v="13424.34"/>
    <m/>
    <n v="0"/>
    <s v="是"/>
    <s v="十万以下"/>
    <s v="食品"/>
    <s v="试水做判断（有收入）"/>
    <s v="头部UP主客制化"/>
    <s v="P2"/>
    <s v="E"/>
    <s v="老帕"/>
    <s v="已建联"/>
    <x v="1"/>
    <x v="2"/>
    <m/>
    <m/>
    <s v="头部UP主"/>
    <s v="无客制化商品"/>
    <s v="强切"/>
    <m/>
    <s v="已不再做客制化商品"/>
  </r>
  <r>
    <s v="知识"/>
    <n v="2142394537"/>
    <s v="医者正心"/>
    <n v="1288609"/>
    <s v="医者正心"/>
    <n v="15085000"/>
    <n v="2392063.23"/>
    <m/>
    <n v="0"/>
    <s v="是"/>
    <s v="百万级"/>
    <s v="食品"/>
    <s v="重要收入来源（超过50%）"/>
    <s v="头部UP主客制化"/>
    <s v="P0"/>
    <s v="马匀涵"/>
    <s v="老帕"/>
    <s v="已建联"/>
    <x v="1"/>
    <x v="2"/>
    <m/>
    <m/>
    <s v="头部UP主"/>
    <s v="不看好：观望/不投资源"/>
    <s v="强切"/>
    <m/>
    <s v="准备开店，响应慢；已见面沟通，矩阵号入驻使用体验不佳+觉得不必要，从投流+账号内容风险问题出发，已答应入驻，现在人在云南拍摄，抖音账号被封，现新店铺名称：中药材滋补专营店"/>
  </r>
  <r>
    <s v="时尚"/>
    <n v="99740565"/>
    <s v="逍飞free"/>
    <n v="1260442"/>
    <s v="TOBEFLY服饰"/>
    <n v="2432770"/>
    <n v="654896.19999999995"/>
    <m/>
    <n v="0"/>
    <s v="是"/>
    <s v="十万以下"/>
    <s v="服装配饰"/>
    <s v="稳定的收入来源之一（~30%））"/>
    <s v="头部UP主客制化"/>
    <s v="P2"/>
    <s v="阿哩布布"/>
    <s v="北极果"/>
    <s v="已建联"/>
    <x v="1"/>
    <x v="2"/>
    <m/>
    <m/>
    <s v="头部UP主"/>
    <s v="不看好：重点经营竞媒/淘宝"/>
    <m/>
    <m/>
    <s v="拒绝开店：UP主不愿多沟通，如果切闭环就不考虑挂链"/>
  </r>
  <r>
    <s v="知识"/>
    <s v="3546564563831207"/>
    <s v="听风的蚕"/>
    <n v="1259025"/>
    <s v="烈隐旗舰店"/>
    <n v="42616000"/>
    <n v="1227605"/>
    <m/>
    <n v="0"/>
    <s v="是"/>
    <s v="百万级"/>
    <s v="食品"/>
    <s v="试水做判断（有收入）"/>
    <s v="头部UP主客制化"/>
    <s v="P1"/>
    <s v="E"/>
    <s v="老帕"/>
    <s v="已建联"/>
    <x v="1"/>
    <x v="2"/>
    <m/>
    <m/>
    <s v="头部UP主"/>
    <s v="不看好：重点经营竞媒/淘宝"/>
    <s v="23号下午4点过下"/>
    <m/>
    <s v="暂时拒绝，目前B站带货规模不大，想维持使用淘宝链接；下一步约拜访推进尝试"/>
  </r>
  <r>
    <s v="动画"/>
    <n v="1265680561"/>
    <s v="永雏塔菲"/>
    <n v="1235928"/>
    <s v="CherryNova"/>
    <n v="665340"/>
    <n v="560776.48"/>
    <n v="0"/>
    <n v="0"/>
    <s v="是"/>
    <s v="十万以下"/>
    <s v="模玩手办"/>
    <s v="试水做判断（有收入）"/>
    <s v="头部UP主客制化"/>
    <s v="P2"/>
    <s v="E"/>
    <s v="老帕"/>
    <s v="已建联"/>
    <x v="0"/>
    <x v="4"/>
    <n v="10626251"/>
    <s v="CherryNova"/>
    <s v="头部UP主"/>
    <m/>
    <m/>
    <n v="0"/>
    <s v="已开店但是不经营"/>
  </r>
  <r>
    <s v="科技"/>
    <n v="347441270"/>
    <s v="微机分WekiHome"/>
    <n v="1220739"/>
    <s v="微机分"/>
    <n v="1113000"/>
    <n v="2271423.2200000002"/>
    <m/>
    <m/>
    <m/>
    <s v="百万级"/>
    <m/>
    <m/>
    <s v="10-50w新增"/>
    <m/>
    <m/>
    <s v="布布"/>
    <m/>
    <x v="2"/>
    <x v="3"/>
    <m/>
    <m/>
    <s v="头部UP主"/>
    <m/>
    <m/>
    <m/>
    <m/>
  </r>
  <r>
    <s v="美食"/>
    <n v="236711132"/>
    <s v="大师的菜"/>
    <n v="1197464"/>
    <s v="大师的菜"/>
    <n v="4394950"/>
    <n v="55515.48"/>
    <n v="0"/>
    <n v="0"/>
    <s v="是"/>
    <s v="十万级"/>
    <s v="食品"/>
    <s v="稳定的收入来源之一（~30%））"/>
    <s v="头部UP主客制化"/>
    <s v="P1"/>
    <s v="马匀涵"/>
    <s v="老帕"/>
    <s v="已建联"/>
    <x v="0"/>
    <x v="2"/>
    <n v="5736416"/>
    <s v="大师的菜食品企业店"/>
    <s v="头部UP主"/>
    <m/>
    <m/>
    <n v="0"/>
    <s v="主战加群，不积极"/>
  </r>
  <r>
    <s v="生活"/>
    <n v="150522015"/>
    <s v="想想工作室"/>
    <n v="1193216"/>
    <s v="想想艺术工作室"/>
    <n v="4385800"/>
    <n v="1355700.55"/>
    <n v="478.8"/>
    <n v="1.09158587912834E-4"/>
    <s v="是"/>
    <s v="百万级"/>
    <s v="礼品文创"/>
    <s v="稳定的收入来源之一（~30%））"/>
    <s v="头部UP主客制化"/>
    <s v="P2"/>
    <s v="马匀涵"/>
    <s v="老帕"/>
    <s v="已建联"/>
    <x v="0"/>
    <x v="4"/>
    <n v="4708226"/>
    <s v="想想工作室"/>
    <s v="头部UP主"/>
    <m/>
    <m/>
    <n v="0"/>
    <s v="已开店但是不经营"/>
  </r>
  <r>
    <s v="知识"/>
    <n v="35195926"/>
    <s v="大雷的食品科普日常"/>
    <n v="1181486"/>
    <s v="三餐食客的小店"/>
    <n v="6102810"/>
    <n v="769724.9"/>
    <n v="234953.5"/>
    <n v="3.7071989196188843E-2"/>
    <s v="是"/>
    <s v="十万级"/>
    <s v="食品"/>
    <s v="稳定的收入来源之一（~30%））"/>
    <s v="头部UP主客制化"/>
    <s v="P1"/>
    <s v="马匀涵"/>
    <s v="老帕"/>
    <s v="已建联"/>
    <x v="0"/>
    <x v="0"/>
    <n v="10626339"/>
    <s v="三餐食客"/>
    <s v="头部UP主"/>
    <m/>
    <m/>
    <n v="3559.69"/>
    <s v="1、对目前激励的感受：补贴流量效果差，感觉流量有和没有都差不多；对比抖音，在B站的种草需要花更多心思和精力，抖音只要稍微带一带就能卖出很多，B站的转化链路太长，用户电商心智弱。_x000a_2、最想要什么样的激励：抖音有优惠券补贴，如满150减20，或者9折优惠券（商家提供5%，平台提供5%），流量补贴不如满减补贴。满减能让用户获得更多实惠"/>
  </r>
  <r>
    <s v="美食"/>
    <n v="444348914"/>
    <s v="稻草放毒"/>
    <n v="1177249"/>
    <m/>
    <m/>
    <n v="456161"/>
    <m/>
    <m/>
    <s v="否"/>
    <s v="十万级"/>
    <m/>
    <m/>
    <s v="三农圈层"/>
    <m/>
    <m/>
    <s v="马匀涵"/>
    <m/>
    <x v="2"/>
    <x v="3"/>
    <m/>
    <m/>
    <s v="头部UP主"/>
    <m/>
    <m/>
    <m/>
    <m/>
  </r>
  <r>
    <s v="科技"/>
    <n v="7458285"/>
    <s v="爱否科技FView"/>
    <n v="1170952"/>
    <s v="爱否旗舰店"/>
    <n v="1796200"/>
    <n v="2033584.4"/>
    <n v="0"/>
    <n v="0"/>
    <s v="是"/>
    <s v="十万级"/>
    <s v="3C数码"/>
    <s v="稳定的收入来源之一（~30%））"/>
    <s v="头部UP主客制化"/>
    <s v="P2"/>
    <s v="马匀涵"/>
    <s v="老帕"/>
    <s v="已建联"/>
    <x v="0"/>
    <x v="2"/>
    <n v="10628244"/>
    <s v="爱否商城"/>
    <s v="头部UP主"/>
    <m/>
    <m/>
    <n v="0"/>
    <s v="保证金内部请款中"/>
  </r>
  <r>
    <s v="美食"/>
    <s v="511644921"/>
    <s v="萨古的奶茶计划"/>
    <n v="1169399"/>
    <s v="萨古的奶茶计划"/>
    <n v="401450"/>
    <n v="323182"/>
    <n v="0"/>
    <n v="0"/>
    <s v="否"/>
    <s v="十万级"/>
    <s v="食品"/>
    <m/>
    <s v="头部UP主客制化"/>
    <s v="P2"/>
    <m/>
    <s v="北极果"/>
    <s v="已建联"/>
    <x v="3"/>
    <x v="2"/>
    <m/>
    <m/>
    <s v="头部UP主"/>
    <m/>
    <m/>
    <m/>
    <m/>
  </r>
  <r>
    <s v="美食"/>
    <n v="511644921"/>
    <s v="萨古的奶茶计划"/>
    <n v="1169174"/>
    <s v="萨古的奶茶计划"/>
    <n v="320860"/>
    <n v="323182.28999999998"/>
    <m/>
    <m/>
    <m/>
    <s v="十万级"/>
    <m/>
    <m/>
    <s v="10-50w新增"/>
    <m/>
    <m/>
    <s v="布布"/>
    <m/>
    <x v="2"/>
    <x v="3"/>
    <m/>
    <m/>
    <s v="头部UP主"/>
    <m/>
    <m/>
    <m/>
    <m/>
  </r>
  <r>
    <s v="动物圈"/>
    <n v="1870883193"/>
    <s v="猫后生"/>
    <n v="1154541"/>
    <s v="猫后生食品专营店"/>
    <n v="625000"/>
    <n v="82310.509999999995"/>
    <m/>
    <m/>
    <m/>
    <s v="十万以下"/>
    <m/>
    <m/>
    <s v="10-50w新增"/>
    <m/>
    <m/>
    <s v="布布"/>
    <m/>
    <x v="2"/>
    <x v="3"/>
    <m/>
    <m/>
    <s v="头部UP主"/>
    <m/>
    <m/>
    <m/>
    <m/>
  </r>
  <r>
    <s v="生活"/>
    <n v="673886002"/>
    <s v="致91岁的双胞胎"/>
    <n v="1139359"/>
    <s v="博主咖啡馆"/>
    <n v="8621950"/>
    <n v="134842.45000000001"/>
    <m/>
    <n v="0"/>
    <s v="是"/>
    <s v="十万级"/>
    <s v="礼品文创"/>
    <s v="试水做判断（有收入）"/>
    <s v="头部UP主客制化"/>
    <s v="P2"/>
    <s v="阿哩布布"/>
    <s v="北极果"/>
    <s v="已建联"/>
    <x v="1"/>
    <x v="2"/>
    <m/>
    <m/>
    <s v="头部UP主"/>
    <s v="电商业务在收缩"/>
    <m/>
    <m/>
    <s v="1、前期沟通时间：25年9月28日_x000a_2、拒绝的原因，需要更详细：卖的是虚拟课程，没有实体产品，有书籍，书籍挂在出版社小店卖_x000a_3、主要沟通的商家对接人（决策人）：I’m JoJo_x000a_4、对方的配合度：高_x000a_5、游说空间：很小，因为课程不能卖"/>
  </r>
  <r>
    <s v="美食"/>
    <n v="490775325"/>
    <s v="鲁菜行者"/>
    <n v="1139014"/>
    <s v="师父和我做鲁菜"/>
    <n v="0"/>
    <n v="27314.44"/>
    <m/>
    <e v="#DIV/0!"/>
    <s v="是"/>
    <s v="十万级"/>
    <s v="食品"/>
    <s v="稳定的收入来源之一（~30%））"/>
    <s v="头部UP主客制化"/>
    <s v="P1"/>
    <s v="马匀涵"/>
    <s v="老帕"/>
    <s v="已建联"/>
    <x v="1"/>
    <x v="2"/>
    <m/>
    <m/>
    <s v="头部UP主"/>
    <s v="电商业务在收缩"/>
    <s v="再沟通"/>
    <m/>
    <s v="恢复更新，账号转型期，尽期不做带货"/>
  </r>
  <r>
    <s v="美食"/>
    <n v="572164928"/>
    <s v="鞑厨高寒"/>
    <n v="1111485"/>
    <s v="鞑厨高寒杂货铺"/>
    <n v="2306400"/>
    <n v="565893.53"/>
    <m/>
    <n v="0"/>
    <s v="是"/>
    <s v="十万级"/>
    <s v="食品"/>
    <s v="稳定的收入来源之一（~30%））"/>
    <s v="头部UP主客制化"/>
    <s v="P1"/>
    <s v="老帕"/>
    <s v="老帕"/>
    <s v="已建联"/>
    <x v="1"/>
    <x v="2"/>
    <m/>
    <m/>
    <s v="头部UP主"/>
    <s v="不看好：观望/不投资源"/>
    <s v="今天再沟通下"/>
    <m/>
    <s v="被海外个人无法开店限制卡住"/>
  </r>
  <r>
    <s v="生活"/>
    <n v="311871090"/>
    <s v="伟嘉gaara616"/>
    <n v="1106585"/>
    <s v="Gastation嘉年华"/>
    <n v="625"/>
    <n v="1620491.38"/>
    <m/>
    <m/>
    <m/>
    <s v="百万级"/>
    <m/>
    <m/>
    <s v="10-50w新增"/>
    <m/>
    <m/>
    <s v="布布"/>
    <m/>
    <x v="2"/>
    <x v="3"/>
    <m/>
    <m/>
    <s v="头部UP主"/>
    <m/>
    <m/>
    <m/>
    <m/>
  </r>
  <r>
    <s v="音乐"/>
    <n v="35461776"/>
    <s v="趣弹音乐尤克里里"/>
    <n v="1069177"/>
    <s v="趣弹乐器"/>
    <n v="4111800"/>
    <n v="570900"/>
    <n v="4234"/>
    <n v="1.028660113108881E-3"/>
    <s v="是"/>
    <s v="十万级"/>
    <s v="礼品文创"/>
    <s v="稳定的收入来源之一（~30%））"/>
    <s v="头部UP主客制化"/>
    <s v="P2"/>
    <s v="马匀涵"/>
    <s v="老帕"/>
    <s v="已建联"/>
    <x v="0"/>
    <x v="4"/>
    <n v="10626450"/>
    <s v="趣弹乐器"/>
    <s v="头部UP主"/>
    <m/>
    <m/>
    <n v="336"/>
    <s v="商品上架开始带货，不是很积极"/>
  </r>
  <r>
    <s v="知识"/>
    <n v="273831140"/>
    <s v="渣叔爱酒"/>
    <n v="1067722"/>
    <s v="小渣爱酒"/>
    <n v="927450"/>
    <n v="173513.18"/>
    <m/>
    <n v="0"/>
    <s v="是"/>
    <s v="十万级"/>
    <s v="食品"/>
    <s v="稳定的收入来源之一（~30%））"/>
    <s v="头部UP主客制化"/>
    <s v="P2"/>
    <s v="E"/>
    <s v="老帕"/>
    <s v="已建联"/>
    <x v="1"/>
    <x v="2"/>
    <m/>
    <m/>
    <s v="头部UP主"/>
    <s v="不看好：观望/不投资源"/>
    <s v="强切"/>
    <m/>
    <s v="拒绝开店；沟通中，犹豫摇摆状态"/>
  </r>
  <r>
    <s v="美食"/>
    <n v="1206156500"/>
    <s v="老郭美食"/>
    <n v="1065811"/>
    <m/>
    <m/>
    <n v="165768"/>
    <m/>
    <m/>
    <s v="否"/>
    <s v="百万级"/>
    <m/>
    <m/>
    <s v="三农圈层"/>
    <m/>
    <m/>
    <s v="马匀涵"/>
    <m/>
    <x v="2"/>
    <x v="3"/>
    <n v="10655347"/>
    <m/>
    <s v="头部UP主"/>
    <m/>
    <m/>
    <m/>
    <m/>
  </r>
  <r>
    <s v="知识"/>
    <n v="475443398"/>
    <s v="黑毛羊驼"/>
    <n v="1040000"/>
    <s v="寰宇大千官方旗舰店"/>
    <n v="0"/>
    <n v="584844.37"/>
    <n v="153012.29999999999"/>
    <n v="1"/>
    <s v="否"/>
    <s v="十万级"/>
    <s v="模玩手办"/>
    <s v="试水做判断（有收入）"/>
    <s v="头部UP主客制化"/>
    <s v="P2"/>
    <s v="奥粒"/>
    <s v="北极果"/>
    <s v="已建联"/>
    <x v="0"/>
    <x v="0"/>
    <n v="10567305"/>
    <s v="寰宇大千官方旗舰店"/>
    <s v="头部UP主"/>
    <m/>
    <m/>
    <n v="5033.6750000000002"/>
    <m/>
  </r>
  <r>
    <s v="知识"/>
    <n v="1177893348"/>
    <s v="匠人集"/>
    <n v="1030370"/>
    <m/>
    <m/>
    <m/>
    <m/>
    <m/>
    <m/>
    <m/>
    <m/>
    <m/>
    <s v="10-50w新增"/>
    <m/>
    <m/>
    <s v="E"/>
    <m/>
    <x v="2"/>
    <x v="3"/>
    <m/>
    <m/>
    <s v="头部UP主"/>
    <m/>
    <m/>
    <m/>
    <m/>
  </r>
  <r>
    <s v="科技"/>
    <n v="516314798"/>
    <s v="小西设计所"/>
    <n v="1014548"/>
    <s v="小西设计所"/>
    <n v="238360"/>
    <n v="529416.03"/>
    <n v="552.9"/>
    <n v="2.3142325090022347E-3"/>
    <s v="否"/>
    <s v="十万级"/>
    <s v="礼品文创"/>
    <m/>
    <s v="Allen交接 原生UP主"/>
    <s v="P1"/>
    <m/>
    <s v="北极果"/>
    <s v="已建联"/>
    <x v="0"/>
    <x v="2"/>
    <n v="2177319"/>
    <s v="小西设计所"/>
    <s v="头部UP主"/>
    <m/>
    <m/>
    <n v="0"/>
    <s v="运营对接时候已经关店，情况未知"/>
  </r>
  <r>
    <s v="知识"/>
    <n v="664086886"/>
    <s v="鹏城杰森"/>
    <n v="1009196"/>
    <s v="杰森的小店"/>
    <n v="87500"/>
    <n v="1386415.27"/>
    <m/>
    <m/>
    <m/>
    <s v="百万级"/>
    <m/>
    <m/>
    <s v="10-50w新增"/>
    <m/>
    <m/>
    <s v="布布"/>
    <m/>
    <x v="2"/>
    <x v="3"/>
    <m/>
    <m/>
    <s v="头部UP主"/>
    <m/>
    <m/>
    <m/>
    <m/>
  </r>
  <r>
    <s v="生活"/>
    <n v="23995656"/>
    <s v="LORIII阿姨"/>
    <n v="999377"/>
    <s v="老瑞的小店"/>
    <n v="10268000"/>
    <n v="1272458.1200000001"/>
    <m/>
    <m/>
    <m/>
    <s v="百万级"/>
    <m/>
    <m/>
    <s v="10-50w新增"/>
    <m/>
    <m/>
    <s v="布布"/>
    <m/>
    <x v="2"/>
    <x v="3"/>
    <m/>
    <m/>
    <s v="头部UP主"/>
    <m/>
    <m/>
    <m/>
    <m/>
  </r>
  <r>
    <s v="音乐"/>
    <n v="440544870"/>
    <s v="尔东和小明"/>
    <n v="982091"/>
    <s v="尔聪目明station"/>
    <n v="0"/>
    <n v="7519.85"/>
    <n v="9568"/>
    <n v="1"/>
    <s v="是"/>
    <s v="十万级"/>
    <s v="礼品文创"/>
    <s v="试水做判断（有收入）"/>
    <s v="头部UP主客制化"/>
    <s v="P1"/>
    <s v="马匀涵"/>
    <s v="老帕"/>
    <s v="已建联"/>
    <x v="0"/>
    <x v="1"/>
    <n v="10627382"/>
    <s v="尔聪目明station"/>
    <s v="头部UP主"/>
    <m/>
    <m/>
    <n v="103.25"/>
    <m/>
  </r>
  <r>
    <s v="生活"/>
    <n v="1519547765"/>
    <s v="罗兰朵女士"/>
    <n v="980932"/>
    <s v="朵兰采薇"/>
    <n v="875000"/>
    <n v="4273737.22"/>
    <m/>
    <m/>
    <m/>
    <s v="百万级"/>
    <m/>
    <m/>
    <s v="10-50w新增"/>
    <m/>
    <m/>
    <s v="布布"/>
    <m/>
    <x v="2"/>
    <x v="3"/>
    <m/>
    <m/>
    <s v="头部UP主"/>
    <m/>
    <m/>
    <m/>
    <m/>
  </r>
  <r>
    <s v="知识"/>
    <n v="146979897"/>
    <s v="德国人Leo乐柏说"/>
    <n v="976165"/>
    <s v="真德宝"/>
    <m/>
    <n v="406934"/>
    <m/>
    <m/>
    <s v="否"/>
    <s v="十万级"/>
    <m/>
    <m/>
    <s v="三农圈层"/>
    <m/>
    <m/>
    <s v="马匀涵"/>
    <m/>
    <x v="2"/>
    <x v="3"/>
    <m/>
    <m/>
    <s v="头部UP主"/>
    <m/>
    <m/>
    <m/>
    <m/>
  </r>
  <r>
    <s v="动物圈"/>
    <n v="173947574"/>
    <s v="好奇五先生"/>
    <n v="959284"/>
    <s v="五先生奇货铺"/>
    <n v="1063300"/>
    <n v="238021.08"/>
    <n v="3285.2"/>
    <n v="3.0801102434198412E-3"/>
    <s v="否"/>
    <s v="十万级"/>
    <s v="家居日用"/>
    <s v="稳定的收入来源之一（~30%））"/>
    <s v="头部UP主客制化"/>
    <s v="P2"/>
    <s v="马匀涵"/>
    <s v="老帕"/>
    <s v="已建联"/>
    <x v="0"/>
    <x v="4"/>
    <n v="10628310"/>
    <s v="五先生奇货铺"/>
    <s v="头部UP主"/>
    <m/>
    <m/>
    <n v="217.95"/>
    <s v="已经给个营业执照，开了白，在入驻流程中；已开白，入驻中（但商品淡季）"/>
  </r>
  <r>
    <s v="动物圈"/>
    <n v="50295692"/>
    <s v="邓峰萌萌摔肿了"/>
    <n v="951470"/>
    <s v="GoldenTales金故生骨肉/spene星帮尼旗舰店/金故GoldenTales/金故旗舰店/GoldenTales金故"/>
    <n v="160356000"/>
    <n v="5896.73"/>
    <m/>
    <n v="0"/>
    <s v="否"/>
    <s v="十万级"/>
    <s v="食品"/>
    <s v="重要收入来源（超过50%）"/>
    <s v="头部UP主客制化"/>
    <s v="P0"/>
    <s v="奥粒"/>
    <s v="马鹿"/>
    <s v="已建联"/>
    <x v="0"/>
    <x v="2"/>
    <n v="10645466"/>
    <s v="金故GoldenTales旗舰店"/>
    <s v="头部UP主"/>
    <m/>
    <m/>
    <n v="0"/>
    <s v="已入驻待经营，新人力未到岗"/>
  </r>
  <r>
    <s v="知识"/>
    <n v="313308112"/>
    <s v="奔放的小豆豆吖"/>
    <n v="928485"/>
    <s v="奔放的小豆豆"/>
    <n v="62500"/>
    <n v="352819.88"/>
    <m/>
    <m/>
    <m/>
    <s v="十万级"/>
    <m/>
    <m/>
    <s v="10-50w新增"/>
    <m/>
    <m/>
    <s v="布布"/>
    <m/>
    <x v="2"/>
    <x v="3"/>
    <m/>
    <m/>
    <s v="头部UP主"/>
    <m/>
    <m/>
    <m/>
    <m/>
  </r>
  <r>
    <s v="时尚"/>
    <n v="319762851"/>
    <s v="平圆方中Lebannen"/>
    <n v="924431"/>
    <s v="平圆方中PYFZ"/>
    <n v="17325000"/>
    <n v="8129900.0199999996"/>
    <n v="0"/>
    <n v="0"/>
    <s v="否"/>
    <s v="百万级"/>
    <s v="服装配饰"/>
    <s v="稳定的收入来源之一（~30%））"/>
    <s v="头部UP主客制化"/>
    <s v="P1"/>
    <s v="马鹿"/>
    <s v="北极果"/>
    <s v="已建联"/>
    <x v="0"/>
    <x v="2"/>
    <n v="7026450"/>
    <s v="平圆方中Lebannen自营"/>
    <s v="头部UP主"/>
    <m/>
    <m/>
    <n v="0"/>
    <s v="拒绝开店：人手不够，现在人员仅4人，支撑不起来再做一个店铺"/>
  </r>
  <r>
    <s v="知识"/>
    <n v="1047377798"/>
    <s v="直男文史课"/>
    <n v="914203"/>
    <s v="直男哥的店"/>
    <n v="8006"/>
    <n v="7637.7"/>
    <m/>
    <n v="0"/>
    <s v="否"/>
    <s v="十万以下"/>
    <s v="礼品文创"/>
    <s v="试水做判断（有收入）"/>
    <s v="头部UP主客制化"/>
    <s v="P2"/>
    <s v="马匀涵"/>
    <s v="老帕"/>
    <s v="已建联"/>
    <x v="1"/>
    <x v="2"/>
    <m/>
    <m/>
    <s v="头部UP主"/>
    <s v="电商业务在收缩"/>
    <s v="继续追建联"/>
    <m/>
    <s v="拒绝开店；淘宝店铺已查询不到，唯一商品：鼠标垫与其他公司合作非自营，主战社科人文组已发建联话术，已无品无经历拒绝，未直接拉群"/>
  </r>
  <r>
    <s v="动物圈"/>
    <n v="414702734"/>
    <s v="哈仔十一"/>
    <n v="909385"/>
    <s v="蓝汪汪精选"/>
    <n v="0"/>
    <n v="283944.13"/>
    <m/>
    <e v="#DIV/0!"/>
    <s v="否"/>
    <s v="十万以下"/>
    <s v="食品"/>
    <s v="试水做判断（有收入）"/>
    <s v="头部UP主客制化"/>
    <s v="P2"/>
    <s v="马鹿"/>
    <s v="北极果"/>
    <s v="已建联"/>
    <x v="1"/>
    <x v="2"/>
    <m/>
    <m/>
    <s v="头部UP主"/>
    <s v="电商业务在收缩"/>
    <m/>
    <m/>
    <s v="低潜力低配合度，完全没有企划热度也很低，不跟进"/>
  </r>
  <r>
    <s v="知识"/>
    <n v="33291981"/>
    <s v="脑洞部长"/>
    <n v="896968"/>
    <s v="NDBZ"/>
    <n v="72718"/>
    <n v="46581.4"/>
    <m/>
    <m/>
    <m/>
    <s v="十万以下"/>
    <m/>
    <m/>
    <s v="10-50w新增"/>
    <m/>
    <m/>
    <s v="布布"/>
    <m/>
    <x v="2"/>
    <x v="3"/>
    <m/>
    <m/>
    <s v="头部UP主"/>
    <m/>
    <m/>
    <m/>
    <m/>
  </r>
  <r>
    <s v="生活"/>
    <n v="589188442"/>
    <s v="I彭传明"/>
    <n v="884392"/>
    <s v="彭传明"/>
    <n v="875000"/>
    <n v="598"/>
    <m/>
    <m/>
    <m/>
    <s v="十万以下"/>
    <m/>
    <m/>
    <s v="10-50w新增"/>
    <m/>
    <m/>
    <s v="布布"/>
    <m/>
    <x v="2"/>
    <x v="3"/>
    <m/>
    <m/>
    <s v="头部UP主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cikxpl" cacheId="4" applyNumberFormats="0" applyBorderFormats="0" applyFontFormats="0" applyPatternFormats="0" applyAlignmentFormats="0" applyWidthHeightFormats="0" dataCaption="" grandTotalCaption="合计" updatedVersion="7" compact="0" compactData="0">
  <location ref="B3:G4" firstHeaderRow="1" firstDataRow="2" firstDataCol="0" rowPageCount="1" colPageCount="1"/>
  <pivotFields count="27">
    <pivotField compact="0" showAll="0"/>
    <pivotField compact="0" showAll="0"/>
    <pivotField showAll="0"/>
    <pivotField compact="0" showAll="0"/>
    <pivotField compact="0" showAll="0"/>
    <pivotField compact="0" showAll="0"/>
    <pivotField showAll="0"/>
    <pivotField compact="0" showAll="0"/>
    <pivotField showAll="0"/>
    <pivotField compact="0" showAll="0"/>
    <pivotField compact="0" showAll="0"/>
    <pivotField compact="0" showAll="0"/>
    <pivotField compact="0" showAll="0"/>
    <pivotField showAll="0"/>
    <pivotField compact="0" showAll="0"/>
    <pivotField showAll="0"/>
    <pivotField showAll="0"/>
    <pivotField compact="0" showAll="0"/>
    <pivotField axis="axisPage" compact="0" showAll="0">
      <items count="5">
        <item x="0"/>
        <item h="1" x="1"/>
        <item x="2"/>
        <item x="3"/>
        <item t="default"/>
      </items>
    </pivotField>
    <pivotField axis="axisCol" compact="0" showAll="0" sortType="ascending">
      <items count="6">
        <item x="0"/>
        <item x="1"/>
        <item x="4"/>
        <item x="2"/>
        <item x="3"/>
        <item t="default"/>
      </items>
    </pivotField>
    <pivotField compact="0" showAll="0"/>
    <pivotField compact="0" showAll="0"/>
    <pivotField showAll="0"/>
    <pivotField compact="0" showAll="0"/>
    <pivotField compact="0" showAll="0"/>
    <pivotField showAll="0"/>
    <pivotField compact="0" showAll="0"/>
  </pivotFields>
  <rowItems count="1">
    <i/>
  </rowItems>
  <colFields count="1">
    <field x="1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8" hier="0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.weixin.qq.com/doc/w3_AaYAPgbqAOoCNUt9mA0VGTj2FnWGq?scode=ANYAEAdoABEfy7yvZmAaYAPgbqAOo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头部客制化"/>
  <dimension ref="A1:L460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E6" sqref="E6"/>
    </sheetView>
  </sheetViews>
  <sheetFormatPr defaultRowHeight="13"/>
  <cols>
    <col min="1" max="1" width="7.81640625" style="408" customWidth="1"/>
    <col min="2" max="2" width="17.81640625" style="409" customWidth="1"/>
    <col min="3" max="3" width="18.36328125" style="410" customWidth="1"/>
    <col min="4" max="4" width="21.26953125" style="411" customWidth="1"/>
    <col min="5" max="5" width="13.453125" style="412" customWidth="1"/>
    <col min="6" max="6" width="13.6328125" style="411" customWidth="1"/>
    <col min="7" max="7" width="19.81640625" style="411" customWidth="1"/>
  </cols>
  <sheetData>
    <row r="1" spans="1:7" s="384" customFormat="1" ht="54.75" customHeight="1">
      <c r="A1" s="147" t="s">
        <v>682</v>
      </c>
      <c r="B1" s="149" t="s">
        <v>683</v>
      </c>
      <c r="C1" s="150" t="s">
        <v>588</v>
      </c>
      <c r="D1" s="151" t="s">
        <v>685</v>
      </c>
      <c r="E1" s="152" t="s">
        <v>0</v>
      </c>
      <c r="F1" s="153" t="s">
        <v>691</v>
      </c>
      <c r="G1" s="154" t="s">
        <v>692</v>
      </c>
    </row>
    <row r="2" spans="1:7" ht="17.25" customHeight="1">
      <c r="A2" s="155" t="s">
        <v>695</v>
      </c>
      <c r="B2" s="156">
        <v>14229967</v>
      </c>
      <c r="C2" s="157" t="s">
        <v>60</v>
      </c>
      <c r="D2" s="158" t="s">
        <v>696</v>
      </c>
      <c r="E2" s="161" t="s">
        <v>700</v>
      </c>
      <c r="F2" s="158">
        <v>2055260</v>
      </c>
      <c r="G2" s="158" t="s">
        <v>701</v>
      </c>
    </row>
    <row r="3" spans="1:7" ht="17.25" customHeight="1">
      <c r="A3" s="157" t="s">
        <v>702</v>
      </c>
      <c r="B3" s="156">
        <v>5970160</v>
      </c>
      <c r="C3" s="157" t="s">
        <v>163</v>
      </c>
      <c r="D3" s="158" t="s">
        <v>703</v>
      </c>
      <c r="E3" s="161" t="s">
        <v>700</v>
      </c>
      <c r="F3" s="158">
        <v>9007401</v>
      </c>
      <c r="G3" s="158" t="s">
        <v>703</v>
      </c>
    </row>
    <row r="4" spans="1:7" s="404" customFormat="1" ht="17.25" customHeight="1">
      <c r="A4" s="155" t="s">
        <v>706</v>
      </c>
      <c r="B4" s="164">
        <v>946974</v>
      </c>
      <c r="C4" s="157" t="s">
        <v>78</v>
      </c>
      <c r="D4" s="158" t="s">
        <v>78</v>
      </c>
      <c r="E4" s="161" t="s">
        <v>700</v>
      </c>
      <c r="F4" s="158">
        <v>9880069</v>
      </c>
      <c r="G4" s="158" t="s">
        <v>708</v>
      </c>
    </row>
    <row r="5" spans="1:7" ht="17.25" customHeight="1">
      <c r="A5" s="155" t="s">
        <v>702</v>
      </c>
      <c r="B5" s="156">
        <v>62540916</v>
      </c>
      <c r="C5" s="157" t="s">
        <v>357</v>
      </c>
      <c r="D5" s="158" t="s">
        <v>709</v>
      </c>
      <c r="E5" s="161" t="s">
        <v>710</v>
      </c>
      <c r="F5" s="165"/>
      <c r="G5" s="159"/>
    </row>
    <row r="6" spans="1:7" ht="17.25" customHeight="1">
      <c r="A6" s="166" t="s">
        <v>695</v>
      </c>
      <c r="B6" s="167">
        <v>66607740</v>
      </c>
      <c r="C6" s="168" t="s">
        <v>358</v>
      </c>
      <c r="D6" s="170"/>
      <c r="E6" s="161" t="s">
        <v>700</v>
      </c>
      <c r="F6" s="171">
        <v>10205196</v>
      </c>
      <c r="G6" s="171" t="s">
        <v>711</v>
      </c>
    </row>
    <row r="7" spans="1:7" ht="17.25" customHeight="1">
      <c r="A7" s="156" t="s">
        <v>702</v>
      </c>
      <c r="B7" s="156">
        <v>5294454</v>
      </c>
      <c r="C7" s="172" t="s">
        <v>153</v>
      </c>
      <c r="D7" s="158" t="s">
        <v>712</v>
      </c>
      <c r="E7" s="161" t="s">
        <v>700</v>
      </c>
      <c r="F7" s="159">
        <v>10222034</v>
      </c>
      <c r="G7" s="159" t="s">
        <v>712</v>
      </c>
    </row>
    <row r="8" spans="1:7" ht="17.25" customHeight="1">
      <c r="A8" s="155" t="s">
        <v>714</v>
      </c>
      <c r="B8" s="173">
        <v>8960728</v>
      </c>
      <c r="C8" s="157" t="s">
        <v>84</v>
      </c>
      <c r="D8" s="158" t="s">
        <v>715</v>
      </c>
      <c r="E8" s="161" t="s">
        <v>700</v>
      </c>
      <c r="F8" s="159">
        <v>10626941</v>
      </c>
      <c r="G8" s="159" t="s">
        <v>717</v>
      </c>
    </row>
    <row r="9" spans="1:7" ht="17.25" customHeight="1">
      <c r="A9" s="157" t="s">
        <v>714</v>
      </c>
      <c r="B9" s="173">
        <v>99157282</v>
      </c>
      <c r="C9" s="157" t="s">
        <v>74</v>
      </c>
      <c r="D9" s="158" t="s">
        <v>718</v>
      </c>
      <c r="E9" s="161" t="s">
        <v>700</v>
      </c>
      <c r="F9" s="159">
        <v>10626947</v>
      </c>
      <c r="G9" s="174" t="s">
        <v>718</v>
      </c>
    </row>
    <row r="10" spans="1:7" ht="17.25" customHeight="1">
      <c r="A10" s="157" t="s">
        <v>719</v>
      </c>
      <c r="B10" s="156">
        <v>10119428</v>
      </c>
      <c r="C10" s="157" t="s">
        <v>129</v>
      </c>
      <c r="D10" s="174" t="s">
        <v>720</v>
      </c>
      <c r="E10" s="161" t="s">
        <v>710</v>
      </c>
      <c r="F10" s="165"/>
      <c r="G10" s="159"/>
    </row>
    <row r="11" spans="1:7" ht="17.25" customHeight="1">
      <c r="A11" s="157" t="s">
        <v>714</v>
      </c>
      <c r="B11" s="173">
        <v>39627524</v>
      </c>
      <c r="C11" s="157" t="s">
        <v>85</v>
      </c>
      <c r="D11" s="158" t="s">
        <v>721</v>
      </c>
      <c r="E11" s="161" t="s">
        <v>700</v>
      </c>
      <c r="F11" s="159">
        <v>10197836</v>
      </c>
      <c r="G11" s="159" t="s">
        <v>722</v>
      </c>
    </row>
    <row r="12" spans="1:7" s="62" customFormat="1" ht="17.25" customHeight="1">
      <c r="A12" s="157" t="s">
        <v>723</v>
      </c>
      <c r="B12" s="173">
        <v>168598</v>
      </c>
      <c r="C12" s="157" t="s">
        <v>236</v>
      </c>
      <c r="D12" s="158" t="s">
        <v>724</v>
      </c>
      <c r="E12" s="161" t="s">
        <v>700</v>
      </c>
      <c r="F12" s="159">
        <v>10194606</v>
      </c>
      <c r="G12" s="159" t="s">
        <v>725</v>
      </c>
    </row>
    <row r="13" spans="1:7" ht="17.25" customHeight="1">
      <c r="A13" s="157" t="s">
        <v>714</v>
      </c>
      <c r="B13" s="173">
        <v>290526283</v>
      </c>
      <c r="C13" s="175" t="s">
        <v>69</v>
      </c>
      <c r="D13" s="158" t="s">
        <v>726</v>
      </c>
      <c r="E13" s="161" t="s">
        <v>700</v>
      </c>
      <c r="F13" s="159">
        <v>10195781</v>
      </c>
      <c r="G13" s="159" t="s">
        <v>727</v>
      </c>
    </row>
    <row r="14" spans="1:7" ht="17.25" customHeight="1">
      <c r="A14" s="176" t="s">
        <v>702</v>
      </c>
      <c r="B14" s="167">
        <v>67141499</v>
      </c>
      <c r="C14" s="177" t="s">
        <v>728</v>
      </c>
      <c r="D14" s="178" t="s">
        <v>729</v>
      </c>
      <c r="E14" s="179"/>
      <c r="F14" s="165"/>
      <c r="G14" s="170"/>
    </row>
    <row r="15" spans="1:7" s="217" customFormat="1" ht="17.25" customHeight="1">
      <c r="A15" s="180" t="s">
        <v>702</v>
      </c>
      <c r="B15" s="181">
        <v>67141499</v>
      </c>
      <c r="C15" s="182" t="s">
        <v>728</v>
      </c>
      <c r="D15" s="183" t="s">
        <v>729</v>
      </c>
      <c r="E15" s="179"/>
      <c r="F15" s="165"/>
      <c r="G15" s="170"/>
    </row>
    <row r="16" spans="1:7" s="62" customFormat="1" ht="17.25" customHeight="1">
      <c r="A16" s="157" t="s">
        <v>723</v>
      </c>
      <c r="B16" s="156">
        <v>63231</v>
      </c>
      <c r="C16" s="157" t="s">
        <v>207</v>
      </c>
      <c r="D16" s="158" t="s">
        <v>730</v>
      </c>
      <c r="E16" s="161" t="s">
        <v>710</v>
      </c>
      <c r="F16" s="165"/>
      <c r="G16" s="159"/>
    </row>
    <row r="17" spans="1:7" ht="17.25" customHeight="1">
      <c r="A17" s="157" t="s">
        <v>714</v>
      </c>
      <c r="B17" s="156">
        <v>250858633</v>
      </c>
      <c r="C17" s="157" t="s">
        <v>593</v>
      </c>
      <c r="D17" s="158" t="s">
        <v>593</v>
      </c>
      <c r="E17" s="161" t="s">
        <v>700</v>
      </c>
      <c r="F17" s="165"/>
      <c r="G17" s="159"/>
    </row>
    <row r="18" spans="1:7" ht="17.25" customHeight="1">
      <c r="A18" s="184" t="s">
        <v>695</v>
      </c>
      <c r="B18" s="183">
        <v>2000819931</v>
      </c>
      <c r="C18" s="183" t="s">
        <v>732</v>
      </c>
      <c r="D18" s="183" t="s">
        <v>733</v>
      </c>
      <c r="E18" s="185"/>
      <c r="F18" s="185"/>
      <c r="G18" s="185"/>
    </row>
    <row r="19" spans="1:7" ht="17.25" customHeight="1">
      <c r="A19" s="157" t="s">
        <v>714</v>
      </c>
      <c r="B19" s="173">
        <v>419872064</v>
      </c>
      <c r="C19" s="157" t="s">
        <v>235</v>
      </c>
      <c r="D19" s="158" t="s">
        <v>734</v>
      </c>
      <c r="E19" s="186" t="s">
        <v>700</v>
      </c>
      <c r="F19" s="159">
        <v>10626360</v>
      </c>
      <c r="G19" s="158" t="s">
        <v>735</v>
      </c>
    </row>
    <row r="20" spans="1:7" s="405" customFormat="1" ht="17.25" customHeight="1">
      <c r="A20" s="157" t="s">
        <v>719</v>
      </c>
      <c r="B20" s="156">
        <v>7487399</v>
      </c>
      <c r="C20" s="157" t="s">
        <v>205</v>
      </c>
      <c r="D20" s="158" t="s">
        <v>736</v>
      </c>
      <c r="E20" s="161" t="s">
        <v>710</v>
      </c>
      <c r="F20" s="165"/>
      <c r="G20" s="159"/>
    </row>
    <row r="21" spans="1:7" ht="17.25" customHeight="1">
      <c r="A21" s="156" t="s">
        <v>702</v>
      </c>
      <c r="B21" s="173">
        <v>53456</v>
      </c>
      <c r="C21" s="172" t="s">
        <v>594</v>
      </c>
      <c r="D21" s="160" t="s">
        <v>737</v>
      </c>
      <c r="E21" s="161" t="s">
        <v>710</v>
      </c>
      <c r="F21" s="165"/>
      <c r="G21" s="187"/>
    </row>
    <row r="22" spans="1:7" s="62" customFormat="1" ht="17.25" customHeight="1">
      <c r="A22" s="157" t="s">
        <v>714</v>
      </c>
      <c r="B22" s="156">
        <v>447317111</v>
      </c>
      <c r="C22" s="157" t="s">
        <v>57</v>
      </c>
      <c r="D22" s="158" t="s">
        <v>738</v>
      </c>
      <c r="E22" s="161" t="s">
        <v>700</v>
      </c>
      <c r="F22" s="159">
        <v>10627046</v>
      </c>
      <c r="G22" s="158" t="s">
        <v>738</v>
      </c>
    </row>
    <row r="23" spans="1:7" s="217" customFormat="1" ht="17.25" customHeight="1">
      <c r="A23" s="188" t="s">
        <v>695</v>
      </c>
      <c r="B23" s="156">
        <v>11021614</v>
      </c>
      <c r="C23" s="157" t="s">
        <v>595</v>
      </c>
      <c r="D23" s="158" t="s">
        <v>739</v>
      </c>
      <c r="E23" s="190" t="s">
        <v>700</v>
      </c>
      <c r="F23" s="159">
        <v>10210141</v>
      </c>
      <c r="G23" s="162" t="s">
        <v>740</v>
      </c>
    </row>
    <row r="24" spans="1:7" ht="17.25" customHeight="1">
      <c r="A24" s="184" t="s">
        <v>714</v>
      </c>
      <c r="B24" s="191">
        <v>11429061</v>
      </c>
      <c r="C24" s="191" t="s">
        <v>741</v>
      </c>
      <c r="D24" s="178" t="s">
        <v>742</v>
      </c>
      <c r="E24" s="185"/>
      <c r="F24" s="192"/>
      <c r="G24" s="185"/>
    </row>
    <row r="25" spans="1:7" ht="17.25" customHeight="1">
      <c r="A25" s="155" t="s">
        <v>714</v>
      </c>
      <c r="B25" s="156">
        <v>2920960</v>
      </c>
      <c r="C25" s="157" t="s">
        <v>313</v>
      </c>
      <c r="D25" s="158" t="s">
        <v>313</v>
      </c>
      <c r="E25" s="161" t="s">
        <v>700</v>
      </c>
      <c r="F25" s="159">
        <v>10627538</v>
      </c>
      <c r="G25" s="158" t="s">
        <v>743</v>
      </c>
    </row>
    <row r="26" spans="1:7" ht="17.25" customHeight="1">
      <c r="A26" s="157" t="s">
        <v>706</v>
      </c>
      <c r="B26" s="156">
        <v>25876945</v>
      </c>
      <c r="C26" s="157" t="s">
        <v>121</v>
      </c>
      <c r="D26" s="158" t="s">
        <v>744</v>
      </c>
      <c r="E26" s="161" t="s">
        <v>710</v>
      </c>
      <c r="F26" s="165"/>
      <c r="G26" s="159"/>
    </row>
    <row r="27" spans="1:7" ht="17.25" customHeight="1">
      <c r="A27" s="157" t="s">
        <v>702</v>
      </c>
      <c r="B27" s="193">
        <v>347667464</v>
      </c>
      <c r="C27" s="157" t="s">
        <v>32</v>
      </c>
      <c r="D27" s="158" t="s">
        <v>745</v>
      </c>
      <c r="E27" s="161" t="s">
        <v>700</v>
      </c>
      <c r="F27" s="159">
        <v>10202812</v>
      </c>
      <c r="G27" s="158" t="s">
        <v>747</v>
      </c>
    </row>
    <row r="28" spans="1:7" s="62" customFormat="1" ht="17.25" customHeight="1">
      <c r="A28" s="155" t="s">
        <v>723</v>
      </c>
      <c r="B28" s="173">
        <v>3066511</v>
      </c>
      <c r="C28" s="157" t="s">
        <v>80</v>
      </c>
      <c r="D28" s="158" t="s">
        <v>748</v>
      </c>
      <c r="E28" s="161" t="s">
        <v>700</v>
      </c>
      <c r="F28" s="159">
        <v>10626834</v>
      </c>
      <c r="G28" s="159" t="s">
        <v>750</v>
      </c>
    </row>
    <row r="29" spans="1:7" ht="17.25" customHeight="1">
      <c r="A29" s="157" t="s">
        <v>751</v>
      </c>
      <c r="B29" s="173">
        <v>66391032</v>
      </c>
      <c r="C29" s="157" t="s">
        <v>496</v>
      </c>
      <c r="D29" s="158" t="s">
        <v>752</v>
      </c>
      <c r="E29" s="161" t="s">
        <v>710</v>
      </c>
      <c r="F29" s="165"/>
      <c r="G29" s="159"/>
    </row>
    <row r="30" spans="1:7" s="217" customFormat="1" ht="17.25" customHeight="1">
      <c r="A30" s="188" t="s">
        <v>714</v>
      </c>
      <c r="B30" s="156">
        <v>476704454</v>
      </c>
      <c r="C30" s="157" t="s">
        <v>21</v>
      </c>
      <c r="D30" s="158" t="s">
        <v>21</v>
      </c>
      <c r="E30" s="161" t="s">
        <v>700</v>
      </c>
      <c r="F30" s="159">
        <v>5339001</v>
      </c>
      <c r="G30" s="158" t="s">
        <v>21</v>
      </c>
    </row>
    <row r="31" spans="1:7" ht="17.25" customHeight="1">
      <c r="A31" s="157" t="s">
        <v>723</v>
      </c>
      <c r="B31" s="156">
        <v>16794231</v>
      </c>
      <c r="C31" s="157" t="s">
        <v>397</v>
      </c>
      <c r="D31" s="158" t="s">
        <v>754</v>
      </c>
      <c r="E31" s="161" t="s">
        <v>700</v>
      </c>
      <c r="F31" s="158">
        <v>9242362</v>
      </c>
      <c r="G31" s="158" t="s">
        <v>755</v>
      </c>
    </row>
    <row r="32" spans="1:7" ht="17.25" customHeight="1">
      <c r="A32" s="194" t="s">
        <v>695</v>
      </c>
      <c r="B32" s="156">
        <v>326427334</v>
      </c>
      <c r="C32" s="195" t="s">
        <v>756</v>
      </c>
      <c r="D32" s="158" t="s">
        <v>756</v>
      </c>
      <c r="E32" s="161" t="s">
        <v>700</v>
      </c>
      <c r="F32" s="196">
        <v>10654152</v>
      </c>
      <c r="G32" s="197" t="s">
        <v>756</v>
      </c>
    </row>
    <row r="33" spans="1:7" ht="17.25" customHeight="1">
      <c r="A33" s="156" t="s">
        <v>714</v>
      </c>
      <c r="B33" s="156">
        <v>50660116</v>
      </c>
      <c r="C33" s="198" t="s">
        <v>283</v>
      </c>
      <c r="D33" s="158" t="s">
        <v>757</v>
      </c>
      <c r="E33" s="161" t="s">
        <v>700</v>
      </c>
      <c r="F33" s="165">
        <v>10651820</v>
      </c>
      <c r="G33" s="159" t="s">
        <v>757</v>
      </c>
    </row>
    <row r="34" spans="1:7" ht="17.25" customHeight="1">
      <c r="A34" s="188" t="s">
        <v>695</v>
      </c>
      <c r="B34" s="156">
        <v>680677803</v>
      </c>
      <c r="C34" s="157" t="s">
        <v>27</v>
      </c>
      <c r="D34" s="158" t="s">
        <v>758</v>
      </c>
      <c r="E34" s="161" t="s">
        <v>700</v>
      </c>
      <c r="F34" s="159">
        <v>10628345</v>
      </c>
      <c r="G34" s="158" t="s">
        <v>758</v>
      </c>
    </row>
    <row r="35" spans="1:7" ht="17.25" customHeight="1">
      <c r="A35" s="157" t="s">
        <v>759</v>
      </c>
      <c r="B35" s="173">
        <v>25150941</v>
      </c>
      <c r="C35" s="157" t="s">
        <v>88</v>
      </c>
      <c r="D35" s="158" t="s">
        <v>760</v>
      </c>
      <c r="E35" s="161" t="s">
        <v>700</v>
      </c>
      <c r="F35" s="159">
        <v>10626826</v>
      </c>
      <c r="G35" s="159" t="s">
        <v>760</v>
      </c>
    </row>
    <row r="36" spans="1:7" ht="17.25" customHeight="1">
      <c r="A36" s="194" t="s">
        <v>706</v>
      </c>
      <c r="B36" s="156">
        <v>19319172</v>
      </c>
      <c r="C36" s="157" t="s">
        <v>596</v>
      </c>
      <c r="D36" s="158" t="s">
        <v>761</v>
      </c>
      <c r="E36" s="161" t="s">
        <v>710</v>
      </c>
      <c r="F36" s="165"/>
      <c r="G36" s="159"/>
    </row>
    <row r="37" spans="1:7" s="217" customFormat="1" ht="17.25" customHeight="1">
      <c r="A37" s="175" t="s">
        <v>695</v>
      </c>
      <c r="B37" s="156">
        <v>1858861103</v>
      </c>
      <c r="C37" s="157" t="s">
        <v>498</v>
      </c>
      <c r="D37" s="158" t="s">
        <v>762</v>
      </c>
      <c r="E37" s="161" t="s">
        <v>700</v>
      </c>
      <c r="F37" s="159">
        <v>10287991</v>
      </c>
      <c r="G37" s="159" t="s">
        <v>762</v>
      </c>
    </row>
    <row r="38" spans="1:7" s="406" customFormat="1" ht="17.25" customHeight="1">
      <c r="A38" s="157" t="s">
        <v>763</v>
      </c>
      <c r="B38" s="173">
        <v>1838326986</v>
      </c>
      <c r="C38" s="157" t="s">
        <v>92</v>
      </c>
      <c r="D38" s="157" t="s">
        <v>764</v>
      </c>
      <c r="E38" s="161" t="s">
        <v>700</v>
      </c>
      <c r="F38" s="159">
        <v>4840252</v>
      </c>
      <c r="G38" s="159" t="s">
        <v>765</v>
      </c>
    </row>
    <row r="39" spans="1:7" ht="17.25" customHeight="1">
      <c r="A39" s="188" t="s">
        <v>695</v>
      </c>
      <c r="B39" s="156">
        <v>395619513</v>
      </c>
      <c r="C39" s="157" t="s">
        <v>597</v>
      </c>
      <c r="D39" s="158" t="s">
        <v>597</v>
      </c>
      <c r="E39" s="161" t="s">
        <v>710</v>
      </c>
      <c r="F39" s="165"/>
      <c r="G39" s="159"/>
    </row>
    <row r="40" spans="1:7" ht="17.25" customHeight="1">
      <c r="A40" s="188" t="s">
        <v>695</v>
      </c>
      <c r="B40" s="173">
        <v>11646119</v>
      </c>
      <c r="C40" s="157" t="s">
        <v>326</v>
      </c>
      <c r="D40" s="158"/>
      <c r="E40" s="161" t="s">
        <v>710</v>
      </c>
      <c r="F40" s="165"/>
      <c r="G40" s="159"/>
    </row>
    <row r="41" spans="1:7" ht="17.25" customHeight="1">
      <c r="A41" s="157" t="s">
        <v>766</v>
      </c>
      <c r="B41" s="173">
        <v>703186600</v>
      </c>
      <c r="C41" s="157" t="s">
        <v>25</v>
      </c>
      <c r="D41" s="158" t="s">
        <v>767</v>
      </c>
      <c r="E41" s="161" t="s">
        <v>700</v>
      </c>
      <c r="F41" s="159">
        <v>10627525</v>
      </c>
      <c r="G41" s="158" t="s">
        <v>767</v>
      </c>
    </row>
    <row r="42" spans="1:7" ht="17.25" customHeight="1">
      <c r="A42" s="157" t="s">
        <v>702</v>
      </c>
      <c r="B42" s="156">
        <v>50316381</v>
      </c>
      <c r="C42" s="157" t="s">
        <v>598</v>
      </c>
      <c r="D42" s="158" t="s">
        <v>598</v>
      </c>
      <c r="E42" s="161" t="s">
        <v>700</v>
      </c>
      <c r="F42" s="158">
        <v>2954611</v>
      </c>
      <c r="G42" s="158" t="s">
        <v>768</v>
      </c>
    </row>
    <row r="43" spans="1:7" ht="17.25" customHeight="1">
      <c r="A43" s="157" t="s">
        <v>714</v>
      </c>
      <c r="B43" s="156">
        <v>5957440</v>
      </c>
      <c r="C43" s="157" t="s">
        <v>450</v>
      </c>
      <c r="D43" s="158" t="s">
        <v>769</v>
      </c>
      <c r="E43" s="161" t="s">
        <v>710</v>
      </c>
      <c r="F43" s="165"/>
      <c r="G43" s="159"/>
    </row>
    <row r="44" spans="1:7" s="217" customFormat="1" ht="17.25" customHeight="1">
      <c r="A44" s="188" t="s">
        <v>695</v>
      </c>
      <c r="B44" s="173">
        <v>2742391</v>
      </c>
      <c r="C44" s="195" t="s">
        <v>599</v>
      </c>
      <c r="D44" s="158" t="s">
        <v>770</v>
      </c>
      <c r="E44" s="161" t="s">
        <v>700</v>
      </c>
      <c r="F44" s="196">
        <v>10655580</v>
      </c>
      <c r="G44" s="197" t="s">
        <v>771</v>
      </c>
    </row>
    <row r="45" spans="1:7" s="217" customFormat="1" ht="17.25" customHeight="1">
      <c r="A45" s="157" t="s">
        <v>714</v>
      </c>
      <c r="B45" s="156">
        <v>1711342368</v>
      </c>
      <c r="C45" s="157" t="s">
        <v>600</v>
      </c>
      <c r="D45" s="158" t="s">
        <v>772</v>
      </c>
      <c r="E45" s="190" t="s">
        <v>710</v>
      </c>
      <c r="F45" s="199"/>
      <c r="G45" s="162"/>
    </row>
    <row r="46" spans="1:7" s="217" customFormat="1" ht="17.25" customHeight="1">
      <c r="A46" s="184" t="s">
        <v>723</v>
      </c>
      <c r="B46" s="183">
        <v>43536</v>
      </c>
      <c r="C46" s="183" t="s">
        <v>374</v>
      </c>
      <c r="D46" s="183" t="s">
        <v>773</v>
      </c>
      <c r="E46" s="200"/>
      <c r="F46" s="200"/>
      <c r="G46" s="200"/>
    </row>
    <row r="47" spans="1:7" ht="17.25" customHeight="1">
      <c r="A47" s="157" t="s">
        <v>751</v>
      </c>
      <c r="B47" s="156">
        <v>63486758</v>
      </c>
      <c r="C47" s="157" t="s">
        <v>55</v>
      </c>
      <c r="D47" s="158" t="s">
        <v>774</v>
      </c>
      <c r="E47" s="161" t="s">
        <v>700</v>
      </c>
      <c r="F47" s="159">
        <v>10627478</v>
      </c>
      <c r="G47" s="158" t="s">
        <v>774</v>
      </c>
    </row>
    <row r="48" spans="1:7" s="217" customFormat="1" ht="17.25" customHeight="1">
      <c r="A48" s="157" t="s">
        <v>706</v>
      </c>
      <c r="B48" s="173">
        <v>11336264</v>
      </c>
      <c r="C48" s="201" t="s">
        <v>35</v>
      </c>
      <c r="D48" s="158" t="s">
        <v>775</v>
      </c>
      <c r="E48" s="161" t="s">
        <v>700</v>
      </c>
      <c r="F48" s="159">
        <v>10627434</v>
      </c>
      <c r="G48" s="158" t="s">
        <v>35</v>
      </c>
    </row>
    <row r="49" spans="1:7" ht="17.25" customHeight="1">
      <c r="A49" s="188" t="s">
        <v>695</v>
      </c>
      <c r="B49" s="173">
        <v>400230277</v>
      </c>
      <c r="C49" s="157" t="s">
        <v>71</v>
      </c>
      <c r="D49" s="158" t="s">
        <v>777</v>
      </c>
      <c r="E49" s="126" t="s">
        <v>700</v>
      </c>
      <c r="F49" s="118">
        <v>2950464</v>
      </c>
      <c r="G49" s="118" t="s">
        <v>778</v>
      </c>
    </row>
    <row r="50" spans="1:7" ht="17.25" customHeight="1">
      <c r="A50" s="180" t="s">
        <v>702</v>
      </c>
      <c r="B50" s="178">
        <v>219683419</v>
      </c>
      <c r="C50" s="178" t="s">
        <v>779</v>
      </c>
      <c r="D50" s="178" t="s">
        <v>780</v>
      </c>
      <c r="E50" s="208"/>
      <c r="F50" s="208"/>
      <c r="G50" s="208"/>
    </row>
    <row r="51" spans="1:7" s="62" customFormat="1" ht="17.25" customHeight="1">
      <c r="A51" s="184" t="s">
        <v>702</v>
      </c>
      <c r="B51" s="183">
        <v>219683419</v>
      </c>
      <c r="C51" s="183" t="s">
        <v>779</v>
      </c>
      <c r="D51" s="183" t="s">
        <v>780</v>
      </c>
      <c r="E51" s="208"/>
      <c r="F51" s="208"/>
      <c r="G51" s="208"/>
    </row>
    <row r="52" spans="1:7" ht="17.25" customHeight="1">
      <c r="A52" s="188" t="s">
        <v>702</v>
      </c>
      <c r="B52" s="156">
        <v>414700515</v>
      </c>
      <c r="C52" s="157" t="s">
        <v>601</v>
      </c>
      <c r="D52" s="158" t="s">
        <v>781</v>
      </c>
      <c r="E52" s="161" t="s">
        <v>710</v>
      </c>
      <c r="F52" s="165"/>
      <c r="G52" s="158"/>
    </row>
    <row r="53" spans="1:7" ht="17.25" customHeight="1">
      <c r="A53" s="194" t="s">
        <v>723</v>
      </c>
      <c r="B53" s="156">
        <v>7349</v>
      </c>
      <c r="C53" s="157" t="s">
        <v>41</v>
      </c>
      <c r="D53" s="158" t="s">
        <v>782</v>
      </c>
      <c r="E53" s="161" t="s">
        <v>700</v>
      </c>
      <c r="F53" s="158">
        <v>10627747</v>
      </c>
      <c r="G53" s="158" t="s">
        <v>782</v>
      </c>
    </row>
    <row r="54" spans="1:7" ht="17.25" customHeight="1">
      <c r="A54" s="155" t="s">
        <v>714</v>
      </c>
      <c r="B54" s="209">
        <v>417298480</v>
      </c>
      <c r="C54" s="157" t="s">
        <v>67</v>
      </c>
      <c r="D54" s="158" t="s">
        <v>783</v>
      </c>
      <c r="E54" s="161" t="s">
        <v>700</v>
      </c>
      <c r="F54" s="159">
        <v>10601456</v>
      </c>
      <c r="G54" s="158" t="s">
        <v>784</v>
      </c>
    </row>
    <row r="55" spans="1:7" s="217" customFormat="1" ht="17.25" customHeight="1">
      <c r="A55" s="188" t="s">
        <v>785</v>
      </c>
      <c r="B55" s="156">
        <v>48133212</v>
      </c>
      <c r="C55" s="157" t="s">
        <v>602</v>
      </c>
      <c r="D55" s="162" t="s">
        <v>786</v>
      </c>
      <c r="E55" s="190" t="s">
        <v>710</v>
      </c>
      <c r="F55" s="165"/>
      <c r="G55" s="189"/>
    </row>
    <row r="56" spans="1:7" ht="17.25" customHeight="1">
      <c r="A56" s="157" t="s">
        <v>695</v>
      </c>
      <c r="B56" s="173">
        <v>7481602</v>
      </c>
      <c r="C56" s="210" t="s">
        <v>344</v>
      </c>
      <c r="D56" s="158" t="s">
        <v>787</v>
      </c>
      <c r="E56" s="161" t="s">
        <v>700</v>
      </c>
      <c r="F56" s="159">
        <v>10627485</v>
      </c>
      <c r="G56" s="159" t="s">
        <v>787</v>
      </c>
    </row>
    <row r="57" spans="1:7" ht="17.25" customHeight="1">
      <c r="A57" s="184" t="s">
        <v>714</v>
      </c>
      <c r="B57" s="211">
        <v>1984198637</v>
      </c>
      <c r="C57" s="184" t="s">
        <v>788</v>
      </c>
      <c r="D57" s="185"/>
      <c r="E57" s="185"/>
      <c r="F57" s="192"/>
      <c r="G57" s="185"/>
    </row>
    <row r="58" spans="1:7" ht="17.25" customHeight="1">
      <c r="A58" s="157" t="s">
        <v>714</v>
      </c>
      <c r="B58" s="173">
        <v>17546432</v>
      </c>
      <c r="C58" s="157" t="s">
        <v>76</v>
      </c>
      <c r="D58" s="158" t="s">
        <v>789</v>
      </c>
      <c r="E58" s="161" t="s">
        <v>700</v>
      </c>
      <c r="F58" s="158">
        <v>10193971</v>
      </c>
      <c r="G58" s="158" t="s">
        <v>790</v>
      </c>
    </row>
    <row r="59" spans="1:7" ht="17.25" customHeight="1">
      <c r="A59" s="212" t="s">
        <v>723</v>
      </c>
      <c r="B59" s="167">
        <v>51896064</v>
      </c>
      <c r="C59" s="168" t="s">
        <v>460</v>
      </c>
      <c r="D59" s="160" t="s">
        <v>791</v>
      </c>
      <c r="E59" s="161" t="s">
        <v>700</v>
      </c>
      <c r="F59" s="171">
        <v>10626804</v>
      </c>
      <c r="G59" s="171" t="s">
        <v>792</v>
      </c>
    </row>
    <row r="60" spans="1:7" s="217" customFormat="1" ht="17.25" customHeight="1">
      <c r="A60" s="157" t="s">
        <v>695</v>
      </c>
      <c r="B60" s="156">
        <v>321084528</v>
      </c>
      <c r="C60" s="157" t="s">
        <v>47</v>
      </c>
      <c r="D60" s="158" t="s">
        <v>793</v>
      </c>
      <c r="E60" s="161" t="s">
        <v>700</v>
      </c>
      <c r="F60" s="158">
        <v>8440017</v>
      </c>
      <c r="G60" s="158" t="s">
        <v>793</v>
      </c>
    </row>
    <row r="61" spans="1:7" s="217" customFormat="1" ht="17.25" customHeight="1">
      <c r="A61" s="188" t="s">
        <v>695</v>
      </c>
      <c r="B61" s="193">
        <v>2064569539</v>
      </c>
      <c r="C61" s="157" t="s">
        <v>94</v>
      </c>
      <c r="D61" s="158" t="s">
        <v>794</v>
      </c>
      <c r="E61" s="161" t="s">
        <v>700</v>
      </c>
      <c r="F61" s="159">
        <v>4864956</v>
      </c>
      <c r="G61" s="159" t="s">
        <v>795</v>
      </c>
    </row>
    <row r="62" spans="1:7" ht="17.25" customHeight="1">
      <c r="A62" s="157" t="s">
        <v>796</v>
      </c>
      <c r="B62" s="173">
        <v>326246517</v>
      </c>
      <c r="C62" s="157" t="s">
        <v>96</v>
      </c>
      <c r="D62" s="158" t="s">
        <v>797</v>
      </c>
      <c r="E62" s="190" t="s">
        <v>700</v>
      </c>
      <c r="F62" s="189">
        <v>10627919</v>
      </c>
      <c r="G62" s="189" t="s">
        <v>797</v>
      </c>
    </row>
    <row r="63" spans="1:7" s="217" customFormat="1" ht="17.25" customHeight="1">
      <c r="A63" s="157" t="s">
        <v>714</v>
      </c>
      <c r="B63" s="173">
        <v>338927049</v>
      </c>
      <c r="C63" s="157" t="s">
        <v>93</v>
      </c>
      <c r="D63" s="158" t="s">
        <v>798</v>
      </c>
      <c r="E63" s="161" t="s">
        <v>700</v>
      </c>
      <c r="F63" s="158">
        <v>5167365</v>
      </c>
      <c r="G63" s="158" t="s">
        <v>799</v>
      </c>
    </row>
    <row r="64" spans="1:7" ht="17.25" customHeight="1">
      <c r="A64" s="184" t="s">
        <v>702</v>
      </c>
      <c r="B64" s="183">
        <v>508752914</v>
      </c>
      <c r="C64" s="183" t="s">
        <v>800</v>
      </c>
      <c r="D64" s="183" t="s">
        <v>800</v>
      </c>
      <c r="E64" s="213"/>
      <c r="F64" s="213"/>
      <c r="G64" s="213"/>
    </row>
    <row r="65" spans="1:7" s="217" customFormat="1" ht="17.25" customHeight="1">
      <c r="A65" s="188" t="s">
        <v>695</v>
      </c>
      <c r="B65" s="156">
        <v>316568752</v>
      </c>
      <c r="C65" s="175" t="s">
        <v>604</v>
      </c>
      <c r="D65" s="158" t="s">
        <v>801</v>
      </c>
      <c r="E65" s="161" t="s">
        <v>802</v>
      </c>
      <c r="F65" s="165"/>
      <c r="G65" s="159"/>
    </row>
    <row r="66" spans="1:7" s="217" customFormat="1" ht="17.25" customHeight="1">
      <c r="A66" s="157" t="s">
        <v>751</v>
      </c>
      <c r="B66" s="156">
        <v>22423090</v>
      </c>
      <c r="C66" s="157" t="s">
        <v>29</v>
      </c>
      <c r="D66" s="158" t="s">
        <v>803</v>
      </c>
      <c r="E66" s="161" t="s">
        <v>700</v>
      </c>
      <c r="F66" s="158">
        <v>2985875</v>
      </c>
      <c r="G66" s="158" t="s">
        <v>803</v>
      </c>
    </row>
    <row r="67" spans="1:7" ht="17.25" customHeight="1">
      <c r="A67" s="155" t="s">
        <v>804</v>
      </c>
      <c r="B67" s="156">
        <v>8279670</v>
      </c>
      <c r="C67" s="157" t="s">
        <v>605</v>
      </c>
      <c r="D67" s="158" t="s">
        <v>805</v>
      </c>
      <c r="E67" s="161" t="s">
        <v>700</v>
      </c>
      <c r="F67" s="158">
        <v>10246582</v>
      </c>
      <c r="G67" s="158" t="s">
        <v>806</v>
      </c>
    </row>
    <row r="68" spans="1:7" s="217" customFormat="1" ht="17.25" customHeight="1">
      <c r="A68" s="157" t="s">
        <v>714</v>
      </c>
      <c r="B68" s="156">
        <v>432044872</v>
      </c>
      <c r="C68" s="157" t="s">
        <v>606</v>
      </c>
      <c r="D68" s="158" t="s">
        <v>807</v>
      </c>
      <c r="E68" s="161" t="s">
        <v>700</v>
      </c>
      <c r="F68" s="159">
        <v>10629818</v>
      </c>
      <c r="G68" s="159" t="s">
        <v>808</v>
      </c>
    </row>
    <row r="69" spans="1:7" ht="17.25" customHeight="1">
      <c r="A69" s="157" t="s">
        <v>714</v>
      </c>
      <c r="B69" s="156">
        <v>432044872</v>
      </c>
      <c r="C69" s="157" t="s">
        <v>606</v>
      </c>
      <c r="D69" s="158" t="s">
        <v>809</v>
      </c>
      <c r="E69" s="161" t="s">
        <v>700</v>
      </c>
      <c r="F69" s="159">
        <v>10632060</v>
      </c>
      <c r="G69" s="159" t="s">
        <v>809</v>
      </c>
    </row>
    <row r="70" spans="1:7" ht="17.25" customHeight="1">
      <c r="A70" s="157" t="s">
        <v>695</v>
      </c>
      <c r="B70" s="173">
        <v>208130286</v>
      </c>
      <c r="C70" s="157" t="s">
        <v>87</v>
      </c>
      <c r="D70" s="158" t="s">
        <v>810</v>
      </c>
      <c r="E70" s="190" t="s">
        <v>700</v>
      </c>
      <c r="F70" s="159">
        <v>10214670</v>
      </c>
      <c r="G70" s="189" t="s">
        <v>811</v>
      </c>
    </row>
    <row r="71" spans="1:7" ht="17.25" customHeight="1">
      <c r="A71" s="157" t="s">
        <v>759</v>
      </c>
      <c r="B71" s="156">
        <v>50063223</v>
      </c>
      <c r="C71" s="157" t="s">
        <v>607</v>
      </c>
      <c r="D71" s="158" t="s">
        <v>812</v>
      </c>
      <c r="E71" s="161" t="s">
        <v>700</v>
      </c>
      <c r="F71" s="159">
        <v>10628513</v>
      </c>
      <c r="G71" s="158" t="s">
        <v>813</v>
      </c>
    </row>
    <row r="72" spans="1:7" ht="17.25" customHeight="1">
      <c r="A72" s="184" t="s">
        <v>714</v>
      </c>
      <c r="B72" s="191">
        <v>240869947</v>
      </c>
      <c r="C72" s="191" t="s">
        <v>814</v>
      </c>
      <c r="D72" s="178"/>
      <c r="E72" s="200"/>
      <c r="F72" s="192">
        <v>10623565</v>
      </c>
      <c r="G72" s="200"/>
    </row>
    <row r="73" spans="1:7" s="217" customFormat="1" ht="17.25" customHeight="1">
      <c r="A73" s="157" t="s">
        <v>723</v>
      </c>
      <c r="B73" s="173">
        <v>8618005</v>
      </c>
      <c r="C73" s="157" t="s">
        <v>608</v>
      </c>
      <c r="D73" s="158" t="s">
        <v>815</v>
      </c>
      <c r="E73" s="190" t="s">
        <v>700</v>
      </c>
      <c r="F73" s="189">
        <v>10197639</v>
      </c>
      <c r="G73" s="189" t="s">
        <v>816</v>
      </c>
    </row>
    <row r="74" spans="1:7" s="217" customFormat="1" ht="17.25" customHeight="1">
      <c r="A74" s="188" t="s">
        <v>695</v>
      </c>
      <c r="B74" s="173">
        <v>349092963</v>
      </c>
      <c r="C74" s="157" t="s">
        <v>817</v>
      </c>
      <c r="D74" s="158"/>
      <c r="E74" s="161" t="s">
        <v>710</v>
      </c>
      <c r="F74" s="165"/>
      <c r="G74" s="158"/>
    </row>
    <row r="75" spans="1:7" ht="17.25" customHeight="1">
      <c r="A75" s="184" t="s">
        <v>714</v>
      </c>
      <c r="B75" s="178">
        <v>452606628</v>
      </c>
      <c r="C75" s="178" t="s">
        <v>818</v>
      </c>
      <c r="D75" s="178" t="s">
        <v>818</v>
      </c>
      <c r="E75" s="190" t="s">
        <v>700</v>
      </c>
      <c r="F75" s="215">
        <v>10654107</v>
      </c>
      <c r="G75" s="216" t="s">
        <v>819</v>
      </c>
    </row>
    <row r="76" spans="1:7" ht="17.25" customHeight="1">
      <c r="A76" s="184" t="s">
        <v>714</v>
      </c>
      <c r="B76" s="183">
        <v>452606628</v>
      </c>
      <c r="C76" s="183" t="s">
        <v>818</v>
      </c>
      <c r="D76" s="183" t="s">
        <v>818</v>
      </c>
      <c r="E76" s="217"/>
      <c r="F76" s="185"/>
      <c r="G76" s="217"/>
    </row>
    <row r="77" spans="1:7" ht="17.25" customHeight="1">
      <c r="A77" s="157" t="s">
        <v>804</v>
      </c>
      <c r="B77" s="173">
        <v>327757321</v>
      </c>
      <c r="C77" s="157" t="s">
        <v>95</v>
      </c>
      <c r="D77" s="158" t="s">
        <v>820</v>
      </c>
      <c r="E77" s="161" t="s">
        <v>700</v>
      </c>
      <c r="F77" s="158">
        <v>3308007</v>
      </c>
      <c r="G77" s="158" t="s">
        <v>820</v>
      </c>
    </row>
    <row r="78" spans="1:7" s="217" customFormat="1" ht="17.25" customHeight="1">
      <c r="A78" s="184" t="s">
        <v>714</v>
      </c>
      <c r="B78" s="178">
        <v>294675407</v>
      </c>
      <c r="C78" s="178" t="s">
        <v>821</v>
      </c>
      <c r="D78" s="178" t="s">
        <v>742</v>
      </c>
      <c r="E78" s="200"/>
      <c r="F78" s="200"/>
      <c r="G78" s="200"/>
    </row>
    <row r="79" spans="1:7" ht="17.25" customHeight="1">
      <c r="A79" s="184" t="s">
        <v>714</v>
      </c>
      <c r="B79" s="183">
        <v>294675407</v>
      </c>
      <c r="C79" s="183" t="s">
        <v>821</v>
      </c>
      <c r="D79" s="183" t="s">
        <v>742</v>
      </c>
      <c r="E79" s="185"/>
      <c r="F79" s="185"/>
      <c r="G79" s="185"/>
    </row>
    <row r="80" spans="1:7" s="62" customFormat="1" ht="17.25" customHeight="1">
      <c r="A80" s="184" t="s">
        <v>702</v>
      </c>
      <c r="B80" s="211">
        <v>11164088</v>
      </c>
      <c r="C80" s="184" t="s">
        <v>822</v>
      </c>
      <c r="D80" s="184" t="s">
        <v>822</v>
      </c>
      <c r="E80" s="208"/>
      <c r="F80" s="192">
        <v>10654891</v>
      </c>
      <c r="G80" s="208"/>
    </row>
    <row r="81" spans="1:7" ht="17.25" customHeight="1">
      <c r="A81" s="157" t="s">
        <v>823</v>
      </c>
      <c r="B81" s="156">
        <v>298946431</v>
      </c>
      <c r="C81" s="157" t="s">
        <v>467</v>
      </c>
      <c r="D81" s="158" t="s">
        <v>824</v>
      </c>
      <c r="E81" s="126" t="s">
        <v>710</v>
      </c>
      <c r="F81" s="219"/>
      <c r="G81" s="204"/>
    </row>
    <row r="82" spans="1:7" s="407" customFormat="1" ht="17.25" customHeight="1">
      <c r="A82" s="220" t="s">
        <v>704</v>
      </c>
      <c r="B82" s="167">
        <v>1343576122</v>
      </c>
      <c r="C82" s="221" t="s">
        <v>825</v>
      </c>
      <c r="D82" s="158"/>
      <c r="E82" s="190" t="s">
        <v>700</v>
      </c>
      <c r="F82" s="222">
        <v>10583304</v>
      </c>
      <c r="G82" s="222" t="s">
        <v>826</v>
      </c>
    </row>
    <row r="83" spans="1:7" ht="17.25" customHeight="1">
      <c r="A83" s="157" t="s">
        <v>702</v>
      </c>
      <c r="B83" s="156">
        <v>517661394</v>
      </c>
      <c r="C83" s="157" t="s">
        <v>609</v>
      </c>
      <c r="D83" s="158" t="s">
        <v>827</v>
      </c>
      <c r="E83" s="161" t="s">
        <v>710</v>
      </c>
      <c r="F83" s="165"/>
      <c r="G83" s="159"/>
    </row>
    <row r="84" spans="1:7" ht="17.25" customHeight="1">
      <c r="A84" s="188" t="s">
        <v>714</v>
      </c>
      <c r="B84" s="156">
        <v>161419374</v>
      </c>
      <c r="C84" s="157" t="s">
        <v>555</v>
      </c>
      <c r="D84" s="158" t="s">
        <v>828</v>
      </c>
      <c r="E84" s="161" t="s">
        <v>710</v>
      </c>
      <c r="F84" s="165"/>
      <c r="G84" s="159"/>
    </row>
    <row r="85" spans="1:7" ht="17.25" customHeight="1">
      <c r="A85" s="184" t="s">
        <v>695</v>
      </c>
      <c r="B85" s="183">
        <v>417302260</v>
      </c>
      <c r="C85" s="183" t="s">
        <v>829</v>
      </c>
      <c r="D85" s="183" t="s">
        <v>830</v>
      </c>
      <c r="E85" s="200"/>
      <c r="F85" s="200"/>
      <c r="G85" s="200"/>
    </row>
    <row r="86" spans="1:7" s="217" customFormat="1" ht="17.25" customHeight="1">
      <c r="A86" s="184" t="s">
        <v>723</v>
      </c>
      <c r="B86" s="183">
        <v>473519710</v>
      </c>
      <c r="C86" s="183" t="s">
        <v>831</v>
      </c>
      <c r="D86" s="183" t="s">
        <v>831</v>
      </c>
      <c r="E86" s="200"/>
      <c r="F86" s="200"/>
      <c r="G86" s="200"/>
    </row>
    <row r="87" spans="1:7" s="217" customFormat="1" ht="17.25" customHeight="1">
      <c r="A87" s="157" t="s">
        <v>714</v>
      </c>
      <c r="B87" s="156">
        <v>689222371</v>
      </c>
      <c r="C87" s="157" t="s">
        <v>65</v>
      </c>
      <c r="D87" s="158" t="s">
        <v>65</v>
      </c>
      <c r="E87" s="190" t="s">
        <v>700</v>
      </c>
      <c r="F87" s="189">
        <v>10628620</v>
      </c>
      <c r="G87" s="162" t="s">
        <v>832</v>
      </c>
    </row>
    <row r="88" spans="1:7" s="217" customFormat="1" ht="17.25" customHeight="1">
      <c r="A88" s="188" t="s">
        <v>702</v>
      </c>
      <c r="B88" s="156">
        <v>22089099</v>
      </c>
      <c r="C88" s="175" t="s">
        <v>33</v>
      </c>
      <c r="D88" s="158" t="s">
        <v>833</v>
      </c>
      <c r="E88" s="161" t="s">
        <v>700</v>
      </c>
      <c r="F88" s="159">
        <v>10627056</v>
      </c>
      <c r="G88" s="158" t="s">
        <v>833</v>
      </c>
    </row>
    <row r="89" spans="1:7" s="217" customFormat="1" ht="17.25" customHeight="1">
      <c r="A89" s="157" t="s">
        <v>796</v>
      </c>
      <c r="B89" s="156">
        <v>6302909</v>
      </c>
      <c r="C89" s="157" t="s">
        <v>37</v>
      </c>
      <c r="D89" s="158" t="s">
        <v>834</v>
      </c>
      <c r="E89" s="190" t="s">
        <v>700</v>
      </c>
      <c r="F89" s="189">
        <v>10626635</v>
      </c>
      <c r="G89" s="162" t="s">
        <v>835</v>
      </c>
    </row>
    <row r="90" spans="1:7" ht="17.25" customHeight="1">
      <c r="A90" s="157" t="s">
        <v>702</v>
      </c>
      <c r="B90" s="156">
        <v>1590082082</v>
      </c>
      <c r="C90" s="157" t="s">
        <v>610</v>
      </c>
      <c r="D90" s="158" t="s">
        <v>836</v>
      </c>
      <c r="E90" s="161" t="s">
        <v>710</v>
      </c>
      <c r="F90" s="165"/>
      <c r="G90" s="159"/>
    </row>
    <row r="91" spans="1:7" ht="17.25" customHeight="1">
      <c r="A91" s="184" t="s">
        <v>706</v>
      </c>
      <c r="B91" s="183">
        <v>133901828</v>
      </c>
      <c r="C91" s="183" t="s">
        <v>837</v>
      </c>
      <c r="D91" s="183" t="s">
        <v>838</v>
      </c>
      <c r="E91" s="208"/>
      <c r="F91" s="208"/>
      <c r="G91" s="208"/>
    </row>
    <row r="92" spans="1:7" ht="17.25" customHeight="1">
      <c r="A92" s="188" t="s">
        <v>714</v>
      </c>
      <c r="B92" s="173">
        <v>101229184</v>
      </c>
      <c r="C92" s="157" t="s">
        <v>72</v>
      </c>
      <c r="D92" s="158" t="s">
        <v>839</v>
      </c>
      <c r="E92" s="161" t="s">
        <v>700</v>
      </c>
      <c r="F92" s="159">
        <v>10627745</v>
      </c>
      <c r="G92" s="174" t="s">
        <v>840</v>
      </c>
    </row>
    <row r="93" spans="1:7" ht="17.25" customHeight="1">
      <c r="A93" s="184" t="s">
        <v>796</v>
      </c>
      <c r="B93" s="183">
        <v>1136220052</v>
      </c>
      <c r="C93" s="183" t="s">
        <v>841</v>
      </c>
      <c r="D93" s="183" t="s">
        <v>842</v>
      </c>
      <c r="E93" s="208"/>
      <c r="F93" s="208"/>
      <c r="G93" s="208"/>
    </row>
    <row r="94" spans="1:7" ht="17.25" customHeight="1">
      <c r="A94" s="157" t="s">
        <v>702</v>
      </c>
      <c r="B94" s="173">
        <v>480366389</v>
      </c>
      <c r="C94" s="157" t="s">
        <v>73</v>
      </c>
      <c r="D94" s="159" t="s">
        <v>843</v>
      </c>
      <c r="E94" s="161" t="s">
        <v>700</v>
      </c>
      <c r="F94" s="159">
        <v>10629267</v>
      </c>
      <c r="G94" s="159" t="s">
        <v>843</v>
      </c>
    </row>
    <row r="95" spans="1:7" s="217" customFormat="1" ht="17.25" customHeight="1">
      <c r="A95" s="157" t="s">
        <v>714</v>
      </c>
      <c r="B95" s="173">
        <v>1905831130</v>
      </c>
      <c r="C95" s="157" t="s">
        <v>30</v>
      </c>
      <c r="D95" s="158" t="s">
        <v>844</v>
      </c>
      <c r="E95" s="161" t="s">
        <v>700</v>
      </c>
      <c r="F95" s="159">
        <v>10628590</v>
      </c>
      <c r="G95" s="158" t="s">
        <v>845</v>
      </c>
    </row>
    <row r="96" spans="1:7" ht="17.25" customHeight="1">
      <c r="A96" s="157" t="s">
        <v>759</v>
      </c>
      <c r="B96" s="156">
        <v>22184868</v>
      </c>
      <c r="C96" s="157" t="s">
        <v>64</v>
      </c>
      <c r="D96" s="158" t="s">
        <v>846</v>
      </c>
      <c r="E96" s="161" t="s">
        <v>700</v>
      </c>
      <c r="F96" s="158">
        <v>10270982</v>
      </c>
      <c r="G96" s="158" t="s">
        <v>847</v>
      </c>
    </row>
    <row r="97" spans="1:7" s="217" customFormat="1" ht="17.25" customHeight="1">
      <c r="A97" s="157" t="s">
        <v>796</v>
      </c>
      <c r="B97" s="156">
        <v>361775100</v>
      </c>
      <c r="C97" s="157" t="s">
        <v>447</v>
      </c>
      <c r="D97" s="158" t="s">
        <v>848</v>
      </c>
      <c r="E97" s="161" t="s">
        <v>710</v>
      </c>
      <c r="F97" s="165"/>
      <c r="G97" s="159"/>
    </row>
    <row r="98" spans="1:7" ht="17.25" customHeight="1">
      <c r="A98" s="157" t="s">
        <v>706</v>
      </c>
      <c r="B98" s="156">
        <v>8372353</v>
      </c>
      <c r="C98" s="157" t="s">
        <v>612</v>
      </c>
      <c r="D98" s="158" t="s">
        <v>612</v>
      </c>
      <c r="E98" s="161" t="s">
        <v>710</v>
      </c>
      <c r="F98" s="165"/>
      <c r="G98" s="159"/>
    </row>
    <row r="99" spans="1:7" ht="17.25" customHeight="1">
      <c r="A99" s="194" t="s">
        <v>719</v>
      </c>
      <c r="B99" s="156">
        <v>2083634390</v>
      </c>
      <c r="C99" s="157" t="s">
        <v>613</v>
      </c>
      <c r="D99" s="158" t="s">
        <v>849</v>
      </c>
      <c r="E99" s="161" t="s">
        <v>802</v>
      </c>
      <c r="F99" s="165"/>
      <c r="G99" s="159"/>
    </row>
    <row r="100" spans="1:7" ht="17.25" customHeight="1">
      <c r="A100" s="157" t="s">
        <v>714</v>
      </c>
      <c r="B100" s="156">
        <v>1908551987</v>
      </c>
      <c r="C100" s="157" t="s">
        <v>39</v>
      </c>
      <c r="D100" s="158" t="s">
        <v>850</v>
      </c>
      <c r="E100" s="161" t="s">
        <v>700</v>
      </c>
      <c r="F100" s="159">
        <v>10629945</v>
      </c>
      <c r="G100" s="158" t="s">
        <v>850</v>
      </c>
    </row>
    <row r="101" spans="1:7" ht="17.25" customHeight="1">
      <c r="A101" s="157" t="s">
        <v>714</v>
      </c>
      <c r="B101" s="156">
        <v>382986457</v>
      </c>
      <c r="C101" s="157" t="s">
        <v>49</v>
      </c>
      <c r="D101" s="158" t="s">
        <v>49</v>
      </c>
      <c r="E101" s="161" t="s">
        <v>700</v>
      </c>
      <c r="F101" s="159">
        <v>10626676</v>
      </c>
      <c r="G101" s="158" t="s">
        <v>851</v>
      </c>
    </row>
    <row r="102" spans="1:7" ht="17.25" customHeight="1">
      <c r="A102" s="155" t="s">
        <v>702</v>
      </c>
      <c r="B102" s="156">
        <v>266681803</v>
      </c>
      <c r="C102" s="157" t="s">
        <v>852</v>
      </c>
      <c r="D102" s="158" t="s">
        <v>853</v>
      </c>
      <c r="E102" s="161" t="s">
        <v>710</v>
      </c>
      <c r="F102" s="165"/>
      <c r="G102" s="159"/>
    </row>
    <row r="103" spans="1:7" ht="17.25" customHeight="1">
      <c r="A103" s="157" t="s">
        <v>714</v>
      </c>
      <c r="B103" s="173">
        <v>415479453</v>
      </c>
      <c r="C103" s="157" t="s">
        <v>473</v>
      </c>
      <c r="D103" s="158" t="s">
        <v>854</v>
      </c>
      <c r="E103" s="161" t="s">
        <v>700</v>
      </c>
      <c r="F103" s="158">
        <v>4492164</v>
      </c>
      <c r="G103" s="158" t="s">
        <v>854</v>
      </c>
    </row>
    <row r="104" spans="1:7" ht="17.25" customHeight="1">
      <c r="A104" s="157" t="s">
        <v>823</v>
      </c>
      <c r="B104" s="156">
        <v>12444306</v>
      </c>
      <c r="C104" s="157" t="s">
        <v>614</v>
      </c>
      <c r="D104" s="158" t="s">
        <v>855</v>
      </c>
      <c r="E104" s="161" t="s">
        <v>710</v>
      </c>
      <c r="F104" s="165"/>
      <c r="G104" s="159"/>
    </row>
    <row r="105" spans="1:7" s="217" customFormat="1" ht="17.25" customHeight="1">
      <c r="A105" s="157" t="s">
        <v>823</v>
      </c>
      <c r="B105" s="156">
        <v>2091493365</v>
      </c>
      <c r="C105" s="157" t="s">
        <v>615</v>
      </c>
      <c r="D105" s="158" t="s">
        <v>856</v>
      </c>
      <c r="E105" s="161" t="s">
        <v>710</v>
      </c>
      <c r="F105" s="165"/>
      <c r="G105" s="158"/>
    </row>
    <row r="106" spans="1:7" ht="17.25" customHeight="1">
      <c r="A106" s="188" t="s">
        <v>823</v>
      </c>
      <c r="B106" s="156">
        <v>1744959662</v>
      </c>
      <c r="C106" s="157" t="s">
        <v>857</v>
      </c>
      <c r="D106" s="158" t="s">
        <v>858</v>
      </c>
      <c r="E106" s="161" t="s">
        <v>710</v>
      </c>
      <c r="F106" s="165"/>
      <c r="G106" s="159"/>
    </row>
    <row r="107" spans="1:7" ht="17.25" customHeight="1">
      <c r="A107" s="157" t="s">
        <v>695</v>
      </c>
      <c r="B107" s="173">
        <v>2142394537</v>
      </c>
      <c r="C107" s="157" t="s">
        <v>616</v>
      </c>
      <c r="D107" s="158" t="s">
        <v>616</v>
      </c>
      <c r="E107" s="190" t="s">
        <v>710</v>
      </c>
      <c r="F107" s="199"/>
      <c r="G107" s="189"/>
    </row>
    <row r="108" spans="1:7" ht="17.25" customHeight="1">
      <c r="A108" s="157" t="s">
        <v>796</v>
      </c>
      <c r="B108" s="156">
        <v>99740565</v>
      </c>
      <c r="C108" s="157" t="s">
        <v>617</v>
      </c>
      <c r="D108" s="158" t="s">
        <v>859</v>
      </c>
      <c r="E108" s="161" t="s">
        <v>710</v>
      </c>
      <c r="F108" s="165"/>
      <c r="G108" s="159"/>
    </row>
    <row r="109" spans="1:7" ht="17.25" customHeight="1">
      <c r="A109" s="188" t="s">
        <v>695</v>
      </c>
      <c r="B109" s="224" t="s">
        <v>860</v>
      </c>
      <c r="C109" s="157" t="s">
        <v>618</v>
      </c>
      <c r="D109" s="158" t="s">
        <v>861</v>
      </c>
      <c r="E109" s="161" t="s">
        <v>710</v>
      </c>
      <c r="F109" s="165"/>
      <c r="G109" s="159"/>
    </row>
    <row r="110" spans="1:7" ht="17.25" customHeight="1">
      <c r="A110" s="188" t="s">
        <v>804</v>
      </c>
      <c r="B110" s="156">
        <v>1265680561</v>
      </c>
      <c r="C110" s="157" t="s">
        <v>619</v>
      </c>
      <c r="D110" s="158" t="s">
        <v>862</v>
      </c>
      <c r="E110" s="161" t="s">
        <v>700</v>
      </c>
      <c r="F110" s="159">
        <v>10626251</v>
      </c>
      <c r="G110" s="158" t="s">
        <v>862</v>
      </c>
    </row>
    <row r="111" spans="1:7" ht="17.25" customHeight="1">
      <c r="A111" s="184" t="s">
        <v>706</v>
      </c>
      <c r="B111" s="183">
        <v>347441270</v>
      </c>
      <c r="C111" s="183" t="s">
        <v>863</v>
      </c>
      <c r="D111" s="225" t="s">
        <v>864</v>
      </c>
      <c r="E111" s="217"/>
      <c r="F111" s="185"/>
      <c r="G111" s="217"/>
    </row>
    <row r="112" spans="1:7" s="217" customFormat="1" ht="17.25" customHeight="1">
      <c r="A112" s="157" t="s">
        <v>714</v>
      </c>
      <c r="B112" s="156">
        <v>236711132</v>
      </c>
      <c r="C112" s="157" t="s">
        <v>620</v>
      </c>
      <c r="D112" s="158" t="s">
        <v>620</v>
      </c>
      <c r="E112" s="161" t="s">
        <v>700</v>
      </c>
      <c r="F112" s="165">
        <v>5736416</v>
      </c>
      <c r="G112" s="159" t="s">
        <v>865</v>
      </c>
    </row>
    <row r="113" spans="1:7" ht="17.25" customHeight="1">
      <c r="A113" s="157" t="s">
        <v>702</v>
      </c>
      <c r="B113" s="156">
        <v>150522015</v>
      </c>
      <c r="C113" s="157" t="s">
        <v>66</v>
      </c>
      <c r="D113" s="158" t="s">
        <v>866</v>
      </c>
      <c r="E113" s="161" t="s">
        <v>700</v>
      </c>
      <c r="F113" s="158">
        <v>4708226</v>
      </c>
      <c r="G113" s="158" t="s">
        <v>66</v>
      </c>
    </row>
    <row r="114" spans="1:7" ht="17.25" customHeight="1">
      <c r="A114" s="157" t="s">
        <v>695</v>
      </c>
      <c r="B114" s="173">
        <v>35195926</v>
      </c>
      <c r="C114" s="157" t="s">
        <v>68</v>
      </c>
      <c r="D114" s="158" t="s">
        <v>867</v>
      </c>
      <c r="E114" s="190" t="s">
        <v>700</v>
      </c>
      <c r="F114" s="189">
        <v>10626339</v>
      </c>
      <c r="G114" s="162" t="s">
        <v>868</v>
      </c>
    </row>
    <row r="115" spans="1:7" ht="17.25" customHeight="1">
      <c r="A115" s="184" t="s">
        <v>714</v>
      </c>
      <c r="B115" s="211">
        <v>444348914</v>
      </c>
      <c r="C115" s="184" t="s">
        <v>869</v>
      </c>
      <c r="D115" s="208"/>
      <c r="E115" s="208"/>
      <c r="F115" s="192"/>
      <c r="G115" s="208"/>
    </row>
    <row r="116" spans="1:7" ht="17.25" customHeight="1">
      <c r="A116" s="157" t="s">
        <v>706</v>
      </c>
      <c r="B116" s="156">
        <v>7458285</v>
      </c>
      <c r="C116" s="157" t="s">
        <v>621</v>
      </c>
      <c r="D116" s="158" t="s">
        <v>870</v>
      </c>
      <c r="E116" s="161" t="s">
        <v>700</v>
      </c>
      <c r="F116" s="159">
        <v>10628244</v>
      </c>
      <c r="G116" s="158" t="s">
        <v>871</v>
      </c>
    </row>
    <row r="117" spans="1:7" ht="17.25" customHeight="1">
      <c r="A117" s="226" t="s">
        <v>714</v>
      </c>
      <c r="B117" s="221" t="s">
        <v>872</v>
      </c>
      <c r="C117" s="227" t="s">
        <v>873</v>
      </c>
      <c r="D117" s="158" t="s">
        <v>873</v>
      </c>
      <c r="E117" s="179" t="s">
        <v>802</v>
      </c>
      <c r="F117" s="165"/>
      <c r="G117" s="170"/>
    </row>
    <row r="118" spans="1:7" ht="17.25" customHeight="1">
      <c r="A118" s="184" t="s">
        <v>714</v>
      </c>
      <c r="B118" s="183">
        <v>511644921</v>
      </c>
      <c r="C118" s="183" t="s">
        <v>873</v>
      </c>
      <c r="D118" s="183" t="s">
        <v>873</v>
      </c>
      <c r="E118" s="217"/>
      <c r="F118" s="217"/>
      <c r="G118" s="217"/>
    </row>
    <row r="119" spans="1:7" ht="17.25" customHeight="1">
      <c r="A119" s="184" t="s">
        <v>823</v>
      </c>
      <c r="B119" s="183">
        <v>1870883193</v>
      </c>
      <c r="C119" s="183" t="s">
        <v>874</v>
      </c>
      <c r="D119" s="183" t="s">
        <v>875</v>
      </c>
      <c r="E119" s="185"/>
      <c r="F119" s="185"/>
      <c r="G119" s="185"/>
    </row>
    <row r="120" spans="1:7" ht="17.25" customHeight="1">
      <c r="A120" s="157" t="s">
        <v>702</v>
      </c>
      <c r="B120" s="156">
        <v>673886002</v>
      </c>
      <c r="C120" s="157" t="s">
        <v>622</v>
      </c>
      <c r="D120" s="158" t="s">
        <v>876</v>
      </c>
      <c r="E120" s="161" t="s">
        <v>710</v>
      </c>
      <c r="F120" s="165"/>
      <c r="G120" s="159"/>
    </row>
    <row r="121" spans="1:7" s="217" customFormat="1" ht="17.25" customHeight="1">
      <c r="A121" s="157" t="s">
        <v>714</v>
      </c>
      <c r="B121" s="156">
        <v>490775325</v>
      </c>
      <c r="C121" s="157" t="s">
        <v>877</v>
      </c>
      <c r="D121" s="162" t="s">
        <v>878</v>
      </c>
      <c r="E121" s="190" t="s">
        <v>710</v>
      </c>
      <c r="F121" s="165"/>
      <c r="G121" s="189"/>
    </row>
    <row r="122" spans="1:7" s="217" customFormat="1" ht="17.25" customHeight="1">
      <c r="A122" s="157" t="s">
        <v>714</v>
      </c>
      <c r="B122" s="156">
        <v>572164928</v>
      </c>
      <c r="C122" s="157" t="s">
        <v>623</v>
      </c>
      <c r="D122" s="158" t="s">
        <v>879</v>
      </c>
      <c r="E122" s="161" t="s">
        <v>710</v>
      </c>
      <c r="F122" s="165"/>
      <c r="G122" s="159"/>
    </row>
    <row r="123" spans="1:7" s="217" customFormat="1" ht="17.25" customHeight="1">
      <c r="A123" s="184" t="s">
        <v>702</v>
      </c>
      <c r="B123" s="183">
        <v>311871090</v>
      </c>
      <c r="C123" s="183" t="s">
        <v>880</v>
      </c>
      <c r="D123" s="183" t="s">
        <v>881</v>
      </c>
      <c r="E123" s="228"/>
      <c r="F123" s="228"/>
      <c r="G123" s="228"/>
    </row>
    <row r="124" spans="1:7" s="217" customFormat="1" ht="17.25" customHeight="1">
      <c r="A124" s="157" t="s">
        <v>882</v>
      </c>
      <c r="B124" s="156">
        <v>35461776</v>
      </c>
      <c r="C124" s="157" t="s">
        <v>58</v>
      </c>
      <c r="D124" s="158" t="s">
        <v>883</v>
      </c>
      <c r="E124" s="161" t="s">
        <v>700</v>
      </c>
      <c r="F124" s="159">
        <v>10626450</v>
      </c>
      <c r="G124" s="158" t="s">
        <v>883</v>
      </c>
    </row>
    <row r="125" spans="1:7" ht="17.25" customHeight="1">
      <c r="A125" s="188" t="s">
        <v>695</v>
      </c>
      <c r="B125" s="156">
        <v>273831140</v>
      </c>
      <c r="C125" s="157" t="s">
        <v>624</v>
      </c>
      <c r="D125" s="158" t="s">
        <v>884</v>
      </c>
      <c r="E125" s="126" t="s">
        <v>710</v>
      </c>
      <c r="F125" s="219"/>
      <c r="G125" s="204"/>
    </row>
    <row r="126" spans="1:7" s="217" customFormat="1" ht="17.25" customHeight="1">
      <c r="A126" s="184" t="s">
        <v>714</v>
      </c>
      <c r="B126" s="211">
        <v>1206156500</v>
      </c>
      <c r="C126" s="184" t="s">
        <v>885</v>
      </c>
      <c r="D126" s="185"/>
      <c r="E126" s="214"/>
      <c r="F126" s="229">
        <v>10655347</v>
      </c>
      <c r="G126" s="214"/>
    </row>
    <row r="127" spans="1:7" s="217" customFormat="1" ht="17.25" customHeight="1">
      <c r="A127" s="188" t="s">
        <v>695</v>
      </c>
      <c r="B127" s="156">
        <v>475443398</v>
      </c>
      <c r="C127" s="157" t="s">
        <v>886</v>
      </c>
      <c r="D127" s="158" t="s">
        <v>887</v>
      </c>
      <c r="E127" s="161" t="s">
        <v>700</v>
      </c>
      <c r="F127" s="159">
        <v>10567305</v>
      </c>
      <c r="G127" s="159" t="s">
        <v>887</v>
      </c>
    </row>
    <row r="128" spans="1:7" s="217" customFormat="1" ht="17.25" customHeight="1">
      <c r="A128" s="230" t="s">
        <v>695</v>
      </c>
      <c r="B128" s="178">
        <v>1177893348</v>
      </c>
      <c r="C128" s="231" t="s">
        <v>888</v>
      </c>
      <c r="D128" s="178"/>
      <c r="E128" s="214"/>
      <c r="F128" s="214"/>
      <c r="G128" s="214"/>
    </row>
    <row r="129" spans="1:7" s="407" customFormat="1" ht="17.25" customHeight="1">
      <c r="A129" s="212" t="s">
        <v>706</v>
      </c>
      <c r="B129" s="167">
        <v>516314798</v>
      </c>
      <c r="C129" s="232" t="s">
        <v>625</v>
      </c>
      <c r="D129" s="232" t="s">
        <v>625</v>
      </c>
      <c r="E129" s="190" t="s">
        <v>700</v>
      </c>
      <c r="F129" s="171">
        <v>2177319</v>
      </c>
      <c r="G129" s="222" t="s">
        <v>625</v>
      </c>
    </row>
    <row r="130" spans="1:7" ht="17.25" customHeight="1">
      <c r="A130" s="184" t="s">
        <v>695</v>
      </c>
      <c r="B130" s="183">
        <v>664086886</v>
      </c>
      <c r="C130" s="183" t="s">
        <v>889</v>
      </c>
      <c r="D130" s="183" t="s">
        <v>890</v>
      </c>
      <c r="E130" s="200"/>
      <c r="F130" s="200"/>
      <c r="G130" s="200"/>
    </row>
    <row r="131" spans="1:7" ht="17.25" customHeight="1">
      <c r="A131" s="184" t="s">
        <v>702</v>
      </c>
      <c r="B131" s="183">
        <v>23995656</v>
      </c>
      <c r="C131" s="183" t="s">
        <v>891</v>
      </c>
      <c r="D131" s="183" t="s">
        <v>892</v>
      </c>
      <c r="E131" s="200"/>
      <c r="F131" s="200"/>
      <c r="G131" s="200"/>
    </row>
    <row r="132" spans="1:7" s="217" customFormat="1" ht="17.25" customHeight="1">
      <c r="A132" s="223" t="s">
        <v>882</v>
      </c>
      <c r="B132" s="173">
        <v>440544870</v>
      </c>
      <c r="C132" s="223" t="s">
        <v>63</v>
      </c>
      <c r="D132" s="160" t="s">
        <v>893</v>
      </c>
      <c r="E132" s="190" t="s">
        <v>700</v>
      </c>
      <c r="F132" s="189">
        <v>10627382</v>
      </c>
      <c r="G132" s="162" t="s">
        <v>893</v>
      </c>
    </row>
    <row r="133" spans="1:7" s="217" customFormat="1" ht="17.25" customHeight="1">
      <c r="A133" s="184" t="s">
        <v>702</v>
      </c>
      <c r="B133" s="183">
        <v>1519547765</v>
      </c>
      <c r="C133" s="183" t="s">
        <v>894</v>
      </c>
      <c r="D133" s="183" t="s">
        <v>895</v>
      </c>
      <c r="E133" s="200"/>
      <c r="F133" s="200"/>
      <c r="G133" s="200"/>
    </row>
    <row r="134" spans="1:7" s="62" customFormat="1" ht="17.25" customHeight="1">
      <c r="A134" s="184" t="s">
        <v>695</v>
      </c>
      <c r="B134" s="211">
        <v>146979897</v>
      </c>
      <c r="C134" s="184" t="s">
        <v>896</v>
      </c>
      <c r="D134" s="233" t="s">
        <v>897</v>
      </c>
      <c r="E134" s="213"/>
      <c r="F134" s="192"/>
      <c r="G134" s="213"/>
    </row>
    <row r="135" spans="1:7" s="62" customFormat="1" ht="17.25" customHeight="1">
      <c r="A135" s="157" t="s">
        <v>823</v>
      </c>
      <c r="B135" s="156">
        <v>173947574</v>
      </c>
      <c r="C135" s="157" t="s">
        <v>626</v>
      </c>
      <c r="D135" s="158" t="s">
        <v>898</v>
      </c>
      <c r="E135" s="161" t="s">
        <v>700</v>
      </c>
      <c r="F135" s="159">
        <v>10628310</v>
      </c>
      <c r="G135" s="158" t="s">
        <v>898</v>
      </c>
    </row>
    <row r="136" spans="1:7" s="62" customFormat="1" ht="17.25" customHeight="1">
      <c r="A136" s="157" t="s">
        <v>823</v>
      </c>
      <c r="B136" s="193">
        <v>50295692</v>
      </c>
      <c r="C136" s="157" t="s">
        <v>627</v>
      </c>
      <c r="D136" s="158" t="s">
        <v>899</v>
      </c>
      <c r="E136" s="190" t="s">
        <v>700</v>
      </c>
      <c r="F136" s="199">
        <v>10645466</v>
      </c>
      <c r="G136" s="189" t="s">
        <v>900</v>
      </c>
    </row>
    <row r="137" spans="1:7" s="62" customFormat="1" ht="17.25" customHeight="1">
      <c r="A137" s="184" t="s">
        <v>695</v>
      </c>
      <c r="B137" s="183">
        <v>313308112</v>
      </c>
      <c r="C137" s="183" t="s">
        <v>901</v>
      </c>
      <c r="D137" s="183" t="s">
        <v>902</v>
      </c>
      <c r="E137" s="228"/>
      <c r="F137" s="228"/>
      <c r="G137" s="228"/>
    </row>
    <row r="138" spans="1:7" s="62" customFormat="1" ht="17.25" customHeight="1">
      <c r="A138" s="155" t="s">
        <v>796</v>
      </c>
      <c r="B138" s="156">
        <v>319762851</v>
      </c>
      <c r="C138" s="157" t="s">
        <v>628</v>
      </c>
      <c r="D138" s="158" t="s">
        <v>903</v>
      </c>
      <c r="E138" s="161" t="s">
        <v>700</v>
      </c>
      <c r="F138" s="159">
        <v>7026450</v>
      </c>
      <c r="G138" s="158" t="s">
        <v>904</v>
      </c>
    </row>
    <row r="139" spans="1:7" s="62" customFormat="1" ht="17.25" customHeight="1">
      <c r="A139" s="155" t="s">
        <v>695</v>
      </c>
      <c r="B139" s="156">
        <v>1047377798</v>
      </c>
      <c r="C139" s="157" t="s">
        <v>905</v>
      </c>
      <c r="D139" s="158" t="s">
        <v>906</v>
      </c>
      <c r="E139" s="161" t="s">
        <v>710</v>
      </c>
      <c r="F139" s="165"/>
      <c r="G139" s="159"/>
    </row>
    <row r="140" spans="1:7" s="62" customFormat="1" ht="17.25" customHeight="1">
      <c r="A140" s="155" t="s">
        <v>823</v>
      </c>
      <c r="B140" s="156">
        <v>414702734</v>
      </c>
      <c r="C140" s="157" t="s">
        <v>907</v>
      </c>
      <c r="D140" s="158" t="s">
        <v>908</v>
      </c>
      <c r="E140" s="161" t="s">
        <v>710</v>
      </c>
      <c r="F140" s="165"/>
      <c r="G140" s="159"/>
    </row>
    <row r="141" spans="1:7" s="62" customFormat="1" ht="17.25" customHeight="1">
      <c r="A141" s="184" t="s">
        <v>695</v>
      </c>
      <c r="B141" s="183">
        <v>33291981</v>
      </c>
      <c r="C141" s="183" t="s">
        <v>909</v>
      </c>
      <c r="D141" s="183" t="s">
        <v>910</v>
      </c>
      <c r="E141" s="200"/>
      <c r="F141" s="200"/>
      <c r="G141" s="200"/>
    </row>
    <row r="142" spans="1:7" s="62" customFormat="1" ht="17.25" customHeight="1">
      <c r="A142" s="184" t="s">
        <v>702</v>
      </c>
      <c r="B142" s="183">
        <v>589188442</v>
      </c>
      <c r="C142" s="183" t="s">
        <v>911</v>
      </c>
      <c r="D142" s="183" t="s">
        <v>912</v>
      </c>
      <c r="E142" s="228"/>
      <c r="F142" s="228"/>
      <c r="G142" s="228"/>
    </row>
    <row r="143" spans="1:7" s="62" customFormat="1" ht="17.25" customHeight="1">
      <c r="A143" s="155" t="s">
        <v>796</v>
      </c>
      <c r="B143" s="156">
        <v>25120438</v>
      </c>
      <c r="C143" s="157" t="s">
        <v>629</v>
      </c>
      <c r="D143" s="158" t="s">
        <v>913</v>
      </c>
      <c r="E143" s="161" t="s">
        <v>700</v>
      </c>
      <c r="F143" s="159">
        <v>10628901</v>
      </c>
      <c r="G143" s="159" t="s">
        <v>913</v>
      </c>
    </row>
    <row r="144" spans="1:7" s="62" customFormat="1" ht="17.25" customHeight="1">
      <c r="A144" s="157" t="s">
        <v>714</v>
      </c>
      <c r="B144" s="156">
        <v>578088014</v>
      </c>
      <c r="C144" s="157" t="s">
        <v>630</v>
      </c>
      <c r="D144" s="158" t="s">
        <v>630</v>
      </c>
      <c r="E144" s="161" t="s">
        <v>700</v>
      </c>
      <c r="F144" s="158">
        <v>5545435</v>
      </c>
      <c r="G144" s="158" t="s">
        <v>914</v>
      </c>
    </row>
    <row r="145" spans="1:7" s="62" customFormat="1" ht="17.25" customHeight="1">
      <c r="A145" s="157" t="s">
        <v>714</v>
      </c>
      <c r="B145" s="173">
        <v>1298299527</v>
      </c>
      <c r="C145" s="157" t="s">
        <v>89</v>
      </c>
      <c r="D145" s="158" t="s">
        <v>915</v>
      </c>
      <c r="E145" s="190" t="s">
        <v>700</v>
      </c>
      <c r="F145" s="189">
        <v>10627931</v>
      </c>
      <c r="G145" s="189" t="s">
        <v>916</v>
      </c>
    </row>
    <row r="146" spans="1:7" s="62" customFormat="1" ht="17.25" customHeight="1">
      <c r="A146" s="157" t="s">
        <v>796</v>
      </c>
      <c r="B146" s="156">
        <v>51705359</v>
      </c>
      <c r="C146" s="157" t="s">
        <v>917</v>
      </c>
      <c r="D146" s="158" t="s">
        <v>918</v>
      </c>
      <c r="E146" s="190" t="s">
        <v>700</v>
      </c>
      <c r="F146" s="162">
        <v>8404625</v>
      </c>
      <c r="G146" s="162" t="s">
        <v>919</v>
      </c>
    </row>
    <row r="147" spans="1:7" s="62" customFormat="1" ht="17.25" customHeight="1">
      <c r="A147" s="184" t="s">
        <v>695</v>
      </c>
      <c r="B147" s="183">
        <v>94613244</v>
      </c>
      <c r="C147" s="183" t="s">
        <v>920</v>
      </c>
      <c r="D147" s="183" t="s">
        <v>921</v>
      </c>
      <c r="E147" s="148"/>
      <c r="F147" s="148"/>
      <c r="G147" s="148"/>
    </row>
    <row r="148" spans="1:7" s="62" customFormat="1" ht="17.25" customHeight="1">
      <c r="A148" s="157" t="s">
        <v>702</v>
      </c>
      <c r="B148" s="156">
        <v>163230711</v>
      </c>
      <c r="C148" s="157" t="s">
        <v>45</v>
      </c>
      <c r="D148" s="158" t="s">
        <v>922</v>
      </c>
      <c r="E148" s="190" t="s">
        <v>700</v>
      </c>
      <c r="F148" s="162">
        <v>10090867</v>
      </c>
      <c r="G148" s="162" t="s">
        <v>922</v>
      </c>
    </row>
    <row r="149" spans="1:7" s="62" customFormat="1" ht="17.25" customHeight="1">
      <c r="A149" s="157" t="s">
        <v>823</v>
      </c>
      <c r="B149" s="156">
        <v>33918431</v>
      </c>
      <c r="C149" s="157" t="s">
        <v>923</v>
      </c>
      <c r="D149" s="158" t="s">
        <v>924</v>
      </c>
      <c r="E149" s="161" t="s">
        <v>710</v>
      </c>
      <c r="F149" s="165"/>
      <c r="G149" s="159"/>
    </row>
    <row r="150" spans="1:7" ht="17.25" customHeight="1">
      <c r="A150" s="184" t="s">
        <v>714</v>
      </c>
      <c r="B150" s="178">
        <v>89522842</v>
      </c>
      <c r="C150" s="178" t="s">
        <v>925</v>
      </c>
      <c r="D150" s="178" t="s">
        <v>926</v>
      </c>
      <c r="E150" s="200"/>
      <c r="F150" s="200"/>
      <c r="G150" s="200"/>
    </row>
    <row r="151" spans="1:7" s="62" customFormat="1" ht="17.25" customHeight="1">
      <c r="A151" s="184" t="s">
        <v>714</v>
      </c>
      <c r="B151" s="183">
        <v>89522842</v>
      </c>
      <c r="C151" s="183" t="s">
        <v>925</v>
      </c>
      <c r="D151" s="183" t="s">
        <v>926</v>
      </c>
      <c r="E151" s="148"/>
      <c r="F151" s="148"/>
      <c r="G151" s="148"/>
    </row>
    <row r="152" spans="1:7" s="62" customFormat="1" ht="17.25" customHeight="1">
      <c r="A152" s="184" t="s">
        <v>723</v>
      </c>
      <c r="B152" s="183">
        <v>238329119</v>
      </c>
      <c r="C152" s="183" t="s">
        <v>927</v>
      </c>
      <c r="D152" s="183" t="s">
        <v>928</v>
      </c>
      <c r="E152" s="148"/>
      <c r="F152" s="148"/>
      <c r="G152" s="148"/>
    </row>
    <row r="153" spans="1:7" ht="17.25" customHeight="1">
      <c r="A153" s="184" t="s">
        <v>702</v>
      </c>
      <c r="B153" s="183" t="s">
        <v>929</v>
      </c>
      <c r="C153" s="183" t="s">
        <v>930</v>
      </c>
      <c r="D153" s="183" t="s">
        <v>930</v>
      </c>
      <c r="E153" s="200"/>
      <c r="F153" s="200"/>
      <c r="G153" s="200"/>
    </row>
    <row r="154" spans="1:7" ht="17.25" customHeight="1">
      <c r="A154" s="184" t="s">
        <v>706</v>
      </c>
      <c r="B154" s="183">
        <v>12890453</v>
      </c>
      <c r="C154" s="183" t="s">
        <v>931</v>
      </c>
      <c r="D154" s="183" t="s">
        <v>932</v>
      </c>
      <c r="E154" s="208"/>
      <c r="F154" s="208"/>
      <c r="G154" s="208"/>
    </row>
    <row r="155" spans="1:7" ht="17.25" customHeight="1">
      <c r="A155" s="171" t="s">
        <v>695</v>
      </c>
      <c r="B155" s="234">
        <v>258819429</v>
      </c>
      <c r="C155" s="235" t="s">
        <v>933</v>
      </c>
      <c r="D155" s="158"/>
      <c r="E155" s="179" t="s">
        <v>700</v>
      </c>
      <c r="F155" s="159">
        <v>10638468</v>
      </c>
      <c r="G155" s="236" t="s">
        <v>934</v>
      </c>
    </row>
    <row r="156" spans="1:7" ht="17.25" customHeight="1">
      <c r="A156" s="171" t="s">
        <v>695</v>
      </c>
      <c r="B156" s="234">
        <v>36979113</v>
      </c>
      <c r="C156" s="235" t="s">
        <v>935</v>
      </c>
      <c r="D156" s="158"/>
      <c r="E156" s="237" t="s">
        <v>700</v>
      </c>
      <c r="F156" s="219">
        <v>10190242</v>
      </c>
      <c r="G156" s="238" t="s">
        <v>935</v>
      </c>
    </row>
    <row r="157" spans="1:7" s="62" customFormat="1" ht="17.25" customHeight="1">
      <c r="A157" s="184" t="s">
        <v>723</v>
      </c>
      <c r="B157" s="183">
        <v>5415414</v>
      </c>
      <c r="C157" s="183" t="s">
        <v>936</v>
      </c>
      <c r="D157" s="183" t="s">
        <v>937</v>
      </c>
      <c r="E157" s="148"/>
      <c r="F157" s="148"/>
      <c r="G157" s="148"/>
    </row>
    <row r="158" spans="1:7" s="62" customFormat="1" ht="17.25" customHeight="1">
      <c r="A158" s="230" t="s">
        <v>751</v>
      </c>
      <c r="B158" s="239">
        <v>1967716624</v>
      </c>
      <c r="C158" s="231" t="s">
        <v>938</v>
      </c>
      <c r="D158" s="178"/>
      <c r="E158" s="200"/>
      <c r="F158" s="200"/>
      <c r="G158" s="200"/>
    </row>
    <row r="159" spans="1:7" s="62" customFormat="1" ht="17.25" customHeight="1">
      <c r="A159" s="171" t="s">
        <v>695</v>
      </c>
      <c r="B159" s="240">
        <v>400575790</v>
      </c>
      <c r="C159" s="235" t="s">
        <v>939</v>
      </c>
      <c r="D159" s="241" t="s">
        <v>939</v>
      </c>
      <c r="E159" s="161" t="s">
        <v>700</v>
      </c>
      <c r="F159" s="165">
        <v>10644718</v>
      </c>
      <c r="G159" s="242" t="s">
        <v>939</v>
      </c>
    </row>
    <row r="160" spans="1:7" s="62" customFormat="1" ht="17.25" customHeight="1">
      <c r="A160" s="157" t="s">
        <v>702</v>
      </c>
      <c r="B160" s="244">
        <v>502673952</v>
      </c>
      <c r="C160" s="157" t="s">
        <v>42</v>
      </c>
      <c r="D160" s="158" t="s">
        <v>940</v>
      </c>
      <c r="E160" s="161" t="s">
        <v>700</v>
      </c>
      <c r="F160" s="159">
        <v>10046924</v>
      </c>
      <c r="G160" s="158" t="s">
        <v>941</v>
      </c>
    </row>
    <row r="161" spans="1:7" ht="17.25" customHeight="1">
      <c r="A161" s="157" t="s">
        <v>706</v>
      </c>
      <c r="B161" s="244">
        <v>154058118</v>
      </c>
      <c r="C161" s="155" t="s">
        <v>631</v>
      </c>
      <c r="D161" s="158" t="s">
        <v>942</v>
      </c>
      <c r="E161" s="126" t="s">
        <v>710</v>
      </c>
      <c r="F161" s="219"/>
      <c r="G161" s="204"/>
    </row>
    <row r="162" spans="1:7" ht="17.25" customHeight="1">
      <c r="A162" s="184" t="s">
        <v>796</v>
      </c>
      <c r="B162" s="245">
        <v>19526512</v>
      </c>
      <c r="C162" s="245" t="s">
        <v>943</v>
      </c>
      <c r="D162" s="183" t="s">
        <v>944</v>
      </c>
      <c r="E162" s="208"/>
      <c r="F162" s="208"/>
      <c r="G162" s="208"/>
    </row>
    <row r="163" spans="1:7" ht="17.25" customHeight="1">
      <c r="A163" s="184" t="s">
        <v>823</v>
      </c>
      <c r="B163" s="178" t="s">
        <v>945</v>
      </c>
      <c r="C163" s="178" t="s">
        <v>946</v>
      </c>
      <c r="D163" s="178" t="s">
        <v>947</v>
      </c>
      <c r="E163" s="62"/>
      <c r="F163" s="62"/>
      <c r="G163" s="62"/>
    </row>
    <row r="164" spans="1:7" s="62" customFormat="1" ht="17.25" customHeight="1">
      <c r="A164" s="184" t="s">
        <v>823</v>
      </c>
      <c r="B164" s="183" t="s">
        <v>945</v>
      </c>
      <c r="C164" s="183" t="s">
        <v>946</v>
      </c>
      <c r="D164" s="183" t="s">
        <v>948</v>
      </c>
      <c r="E164" s="228"/>
      <c r="F164" s="228"/>
      <c r="G164" s="228"/>
    </row>
    <row r="165" spans="1:7" ht="17.25" customHeight="1">
      <c r="A165" s="157" t="s">
        <v>823</v>
      </c>
      <c r="B165" s="156">
        <v>473177849</v>
      </c>
      <c r="C165" s="157" t="s">
        <v>53</v>
      </c>
      <c r="D165" s="158" t="s">
        <v>949</v>
      </c>
      <c r="E165" s="161" t="s">
        <v>700</v>
      </c>
      <c r="F165" s="159">
        <v>10211111</v>
      </c>
      <c r="G165" s="158" t="s">
        <v>950</v>
      </c>
    </row>
    <row r="166" spans="1:7" ht="17.25" customHeight="1">
      <c r="A166" s="157" t="s">
        <v>714</v>
      </c>
      <c r="B166" s="156">
        <v>353317161</v>
      </c>
      <c r="C166" s="157" t="s">
        <v>632</v>
      </c>
      <c r="D166" s="158" t="s">
        <v>951</v>
      </c>
      <c r="E166" s="161" t="s">
        <v>710</v>
      </c>
      <c r="F166" s="165"/>
      <c r="G166" s="159"/>
    </row>
    <row r="167" spans="1:7" ht="17.25" customHeight="1">
      <c r="A167" s="157" t="s">
        <v>751</v>
      </c>
      <c r="B167" s="156">
        <v>294666436</v>
      </c>
      <c r="C167" s="157" t="s">
        <v>633</v>
      </c>
      <c r="D167" s="158" t="s">
        <v>633</v>
      </c>
      <c r="E167" s="126" t="s">
        <v>710</v>
      </c>
      <c r="F167" s="165"/>
      <c r="G167" s="204"/>
    </row>
    <row r="168" spans="1:7" ht="17.25" customHeight="1">
      <c r="A168" s="184" t="s">
        <v>706</v>
      </c>
      <c r="B168" s="245">
        <v>481429887</v>
      </c>
      <c r="C168" s="245" t="s">
        <v>952</v>
      </c>
      <c r="D168" s="183" t="s">
        <v>953</v>
      </c>
      <c r="E168" s="200"/>
      <c r="F168" s="200"/>
      <c r="G168" s="200"/>
    </row>
    <row r="169" spans="1:7" ht="17.25" customHeight="1">
      <c r="A169" s="157" t="s">
        <v>751</v>
      </c>
      <c r="B169" s="247">
        <v>15047978</v>
      </c>
      <c r="C169" s="155" t="s">
        <v>90</v>
      </c>
      <c r="D169" s="118" t="s">
        <v>954</v>
      </c>
      <c r="E169" s="126" t="s">
        <v>700</v>
      </c>
      <c r="F169" s="165">
        <v>10195198</v>
      </c>
      <c r="G169" s="204" t="s">
        <v>90</v>
      </c>
    </row>
    <row r="170" spans="1:7" ht="17.25" customHeight="1">
      <c r="A170" s="184" t="s">
        <v>695</v>
      </c>
      <c r="B170" s="245">
        <v>383400717</v>
      </c>
      <c r="C170" s="245" t="s">
        <v>955</v>
      </c>
      <c r="D170" s="183" t="s">
        <v>955</v>
      </c>
      <c r="E170" s="200"/>
      <c r="F170" s="200"/>
      <c r="G170" s="200"/>
    </row>
    <row r="171" spans="1:7" ht="17.25" customHeight="1">
      <c r="A171" s="184" t="s">
        <v>956</v>
      </c>
      <c r="B171" s="245">
        <v>628599946</v>
      </c>
      <c r="C171" s="245" t="s">
        <v>957</v>
      </c>
      <c r="D171" s="183" t="s">
        <v>958</v>
      </c>
      <c r="E171" s="200"/>
      <c r="F171" s="200"/>
      <c r="G171" s="200"/>
    </row>
    <row r="172" spans="1:7" ht="17.25" customHeight="1">
      <c r="A172" s="157" t="s">
        <v>882</v>
      </c>
      <c r="B172" s="244">
        <v>326251291</v>
      </c>
      <c r="C172" s="155" t="s">
        <v>634</v>
      </c>
      <c r="D172" s="158" t="s">
        <v>959</v>
      </c>
      <c r="E172" s="161" t="s">
        <v>710</v>
      </c>
      <c r="F172" s="165"/>
      <c r="G172" s="159"/>
    </row>
    <row r="173" spans="1:7" ht="17.25" customHeight="1">
      <c r="A173" s="157" t="s">
        <v>702</v>
      </c>
      <c r="B173" s="244">
        <v>287051252</v>
      </c>
      <c r="C173" s="155" t="s">
        <v>635</v>
      </c>
      <c r="D173" s="158" t="s">
        <v>635</v>
      </c>
      <c r="E173" s="126" t="s">
        <v>710</v>
      </c>
      <c r="F173" s="219"/>
      <c r="G173" s="204"/>
    </row>
    <row r="174" spans="1:7" ht="17.25" customHeight="1">
      <c r="A174" s="184" t="s">
        <v>714</v>
      </c>
      <c r="B174" s="248">
        <v>319438468</v>
      </c>
      <c r="C174" s="248" t="s">
        <v>960</v>
      </c>
      <c r="D174" s="191" t="s">
        <v>960</v>
      </c>
      <c r="E174" s="208"/>
      <c r="F174" s="192"/>
      <c r="G174" s="208"/>
    </row>
    <row r="175" spans="1:7" ht="17.25" customHeight="1">
      <c r="A175" s="188" t="s">
        <v>714</v>
      </c>
      <c r="B175" s="247">
        <v>91399769</v>
      </c>
      <c r="C175" s="155" t="s">
        <v>961</v>
      </c>
      <c r="D175" s="158"/>
      <c r="E175" s="161" t="s">
        <v>700</v>
      </c>
      <c r="F175" s="165"/>
      <c r="G175" s="159"/>
    </row>
    <row r="176" spans="1:7" ht="17.25" customHeight="1">
      <c r="A176" s="184" t="s">
        <v>714</v>
      </c>
      <c r="B176" s="249">
        <v>267038161</v>
      </c>
      <c r="C176" s="250" t="s">
        <v>962</v>
      </c>
      <c r="D176" s="208"/>
      <c r="E176" s="208"/>
      <c r="F176" s="229"/>
      <c r="G176" s="208"/>
    </row>
    <row r="177" spans="1:7" ht="17.25" customHeight="1">
      <c r="A177" s="188" t="s">
        <v>796</v>
      </c>
      <c r="B177" s="156">
        <v>300080640</v>
      </c>
      <c r="C177" s="175" t="s">
        <v>81</v>
      </c>
      <c r="D177" s="158" t="s">
        <v>963</v>
      </c>
      <c r="E177" s="161" t="s">
        <v>700</v>
      </c>
      <c r="F177" s="159">
        <v>10628318</v>
      </c>
      <c r="G177" s="158" t="s">
        <v>964</v>
      </c>
    </row>
    <row r="178" spans="1:7" ht="17.25" customHeight="1">
      <c r="A178" s="157" t="s">
        <v>695</v>
      </c>
      <c r="B178" s="156">
        <v>24109497</v>
      </c>
      <c r="C178" s="157" t="s">
        <v>636</v>
      </c>
      <c r="D178" s="158" t="s">
        <v>636</v>
      </c>
      <c r="E178" s="161" t="s">
        <v>700</v>
      </c>
      <c r="F178" s="159">
        <v>10070833</v>
      </c>
      <c r="G178" s="158" t="s">
        <v>965</v>
      </c>
    </row>
    <row r="179" spans="1:7" ht="17.25" customHeight="1">
      <c r="A179" s="171" t="s">
        <v>751</v>
      </c>
      <c r="B179" s="251">
        <v>36909511</v>
      </c>
      <c r="C179" s="235" t="s">
        <v>966</v>
      </c>
      <c r="D179" s="158" t="s">
        <v>967</v>
      </c>
      <c r="E179" s="126" t="s">
        <v>700</v>
      </c>
      <c r="F179" s="219"/>
      <c r="G179" s="252"/>
    </row>
    <row r="180" spans="1:7" ht="17.25" customHeight="1">
      <c r="A180" s="184" t="s">
        <v>702</v>
      </c>
      <c r="B180" s="183">
        <v>479033035</v>
      </c>
      <c r="C180" s="183" t="s">
        <v>968</v>
      </c>
      <c r="D180" s="183" t="s">
        <v>969</v>
      </c>
      <c r="E180" s="200"/>
      <c r="F180" s="200"/>
      <c r="G180" s="200"/>
    </row>
    <row r="181" spans="1:7" ht="17.25" customHeight="1">
      <c r="A181" s="253" t="s">
        <v>702</v>
      </c>
      <c r="B181" s="167">
        <v>176756724</v>
      </c>
      <c r="C181" s="254" t="s">
        <v>970</v>
      </c>
      <c r="D181" s="158"/>
      <c r="E181" s="179" t="s">
        <v>802</v>
      </c>
      <c r="F181" s="165"/>
      <c r="G181" s="170"/>
    </row>
    <row r="182" spans="1:7" ht="17.25" customHeight="1">
      <c r="A182" s="188" t="s">
        <v>763</v>
      </c>
      <c r="B182" s="173">
        <v>1703866639</v>
      </c>
      <c r="C182" s="157" t="s">
        <v>971</v>
      </c>
      <c r="D182" s="158"/>
      <c r="E182" s="126" t="s">
        <v>700</v>
      </c>
      <c r="F182" s="204">
        <v>10626827</v>
      </c>
      <c r="G182" s="204" t="s">
        <v>971</v>
      </c>
    </row>
    <row r="183" spans="1:7" ht="17.25" customHeight="1">
      <c r="A183" s="157" t="s">
        <v>751</v>
      </c>
      <c r="B183" s="156">
        <v>457871303</v>
      </c>
      <c r="C183" s="157" t="s">
        <v>637</v>
      </c>
      <c r="D183" s="158" t="s">
        <v>972</v>
      </c>
      <c r="E183" s="161" t="s">
        <v>710</v>
      </c>
      <c r="F183" s="165"/>
      <c r="G183" s="159"/>
    </row>
    <row r="184" spans="1:7" ht="17.25" customHeight="1">
      <c r="A184" s="157" t="s">
        <v>706</v>
      </c>
      <c r="B184" s="156">
        <v>6314588</v>
      </c>
      <c r="C184" s="157" t="s">
        <v>638</v>
      </c>
      <c r="D184" s="118" t="s">
        <v>638</v>
      </c>
      <c r="E184" s="126" t="s">
        <v>710</v>
      </c>
      <c r="F184" s="165"/>
      <c r="G184" s="204"/>
    </row>
    <row r="185" spans="1:7" s="62" customFormat="1" ht="17.25" customHeight="1">
      <c r="A185" s="157" t="s">
        <v>706</v>
      </c>
      <c r="B185" s="156">
        <v>477278</v>
      </c>
      <c r="C185" s="157" t="s">
        <v>639</v>
      </c>
      <c r="D185" s="158" t="s">
        <v>973</v>
      </c>
      <c r="E185" s="161" t="s">
        <v>700</v>
      </c>
      <c r="F185" s="159">
        <v>10202258</v>
      </c>
      <c r="G185" s="158" t="s">
        <v>974</v>
      </c>
    </row>
    <row r="186" spans="1:7" s="62" customFormat="1" ht="17.25" customHeight="1">
      <c r="A186" s="184" t="s">
        <v>751</v>
      </c>
      <c r="B186" s="183">
        <v>39279965</v>
      </c>
      <c r="C186" s="183" t="s">
        <v>975</v>
      </c>
      <c r="D186" s="183" t="s">
        <v>976</v>
      </c>
      <c r="E186" s="200"/>
      <c r="F186" s="200"/>
      <c r="G186" s="200"/>
    </row>
    <row r="187" spans="1:7" s="62" customFormat="1" ht="17.25" customHeight="1">
      <c r="A187" s="157" t="s">
        <v>695</v>
      </c>
      <c r="B187" s="156">
        <v>333010040</v>
      </c>
      <c r="C187" s="157" t="s">
        <v>640</v>
      </c>
      <c r="D187" s="158" t="s">
        <v>977</v>
      </c>
      <c r="E187" s="161" t="s">
        <v>710</v>
      </c>
      <c r="F187" s="165"/>
      <c r="G187" s="159"/>
    </row>
    <row r="188" spans="1:7" s="62" customFormat="1" ht="17.25" customHeight="1">
      <c r="A188" s="157" t="s">
        <v>702</v>
      </c>
      <c r="B188" s="156">
        <v>334945087</v>
      </c>
      <c r="C188" s="157" t="s">
        <v>59</v>
      </c>
      <c r="D188" s="157" t="s">
        <v>978</v>
      </c>
      <c r="E188" s="257" t="s">
        <v>700</v>
      </c>
      <c r="F188" s="256">
        <v>10626741</v>
      </c>
      <c r="G188" s="157" t="s">
        <v>59</v>
      </c>
    </row>
    <row r="189" spans="1:7" s="62" customFormat="1" ht="17.25" customHeight="1">
      <c r="A189" s="184" t="s">
        <v>702</v>
      </c>
      <c r="B189" s="183">
        <v>1719393819</v>
      </c>
      <c r="C189" s="183" t="s">
        <v>979</v>
      </c>
      <c r="D189" s="183" t="s">
        <v>980</v>
      </c>
      <c r="E189" s="200"/>
      <c r="F189" s="200"/>
      <c r="G189" s="200"/>
    </row>
    <row r="190" spans="1:7" s="62" customFormat="1" ht="17.25" customHeight="1">
      <c r="A190" s="157" t="s">
        <v>702</v>
      </c>
      <c r="B190" s="156">
        <v>61437342</v>
      </c>
      <c r="C190" s="157" t="s">
        <v>641</v>
      </c>
      <c r="D190" s="158" t="s">
        <v>981</v>
      </c>
      <c r="E190" s="161" t="s">
        <v>700</v>
      </c>
      <c r="F190" s="159">
        <v>10626438</v>
      </c>
      <c r="G190" s="158" t="s">
        <v>982</v>
      </c>
    </row>
    <row r="191" spans="1:7" s="62" customFormat="1" ht="17.25" customHeight="1">
      <c r="A191" s="184" t="s">
        <v>714</v>
      </c>
      <c r="B191" s="211">
        <v>429748638</v>
      </c>
      <c r="C191" s="184" t="s">
        <v>983</v>
      </c>
      <c r="D191" s="208"/>
      <c r="E191" s="148"/>
      <c r="F191" s="229">
        <v>10653434</v>
      </c>
      <c r="G191" s="148"/>
    </row>
    <row r="192" spans="1:7" s="62" customFormat="1" ht="17.25" customHeight="1">
      <c r="A192" s="157" t="s">
        <v>759</v>
      </c>
      <c r="B192" s="156">
        <v>326088478</v>
      </c>
      <c r="C192" s="157" t="s">
        <v>642</v>
      </c>
      <c r="D192" s="158" t="s">
        <v>642</v>
      </c>
      <c r="E192" s="161" t="s">
        <v>710</v>
      </c>
      <c r="F192" s="165"/>
      <c r="G192" s="159"/>
    </row>
    <row r="193" spans="1:7" s="62" customFormat="1" ht="17.25" customHeight="1">
      <c r="A193" s="157" t="s">
        <v>695</v>
      </c>
      <c r="B193" s="156">
        <v>492622111</v>
      </c>
      <c r="C193" s="157" t="s">
        <v>643</v>
      </c>
      <c r="D193" s="158" t="s">
        <v>643</v>
      </c>
      <c r="E193" s="190" t="s">
        <v>710</v>
      </c>
      <c r="F193" s="199"/>
      <c r="G193" s="189"/>
    </row>
    <row r="194" spans="1:7" s="62" customFormat="1" ht="17.25" customHeight="1">
      <c r="A194" s="258" t="s">
        <v>751</v>
      </c>
      <c r="B194" s="259">
        <v>1024129080</v>
      </c>
      <c r="C194" s="260" t="s">
        <v>984</v>
      </c>
      <c r="D194" s="158" t="s">
        <v>984</v>
      </c>
      <c r="E194" s="179" t="s">
        <v>802</v>
      </c>
      <c r="F194" s="165"/>
      <c r="G194" s="170"/>
    </row>
    <row r="195" spans="1:7" s="62" customFormat="1" ht="17.25" customHeight="1">
      <c r="A195" s="157" t="s">
        <v>702</v>
      </c>
      <c r="B195" s="156">
        <v>503481919</v>
      </c>
      <c r="C195" s="175" t="s">
        <v>587</v>
      </c>
      <c r="D195" s="158" t="s">
        <v>985</v>
      </c>
      <c r="E195" s="161" t="s">
        <v>710</v>
      </c>
      <c r="F195" s="163"/>
      <c r="G195" s="165"/>
    </row>
    <row r="196" spans="1:7" s="62" customFormat="1" ht="17.25" customHeight="1">
      <c r="A196" s="188" t="s">
        <v>723</v>
      </c>
      <c r="B196" s="156">
        <v>449704680</v>
      </c>
      <c r="C196" s="175" t="s">
        <v>644</v>
      </c>
      <c r="D196" s="158" t="s">
        <v>986</v>
      </c>
      <c r="E196" s="161" t="s">
        <v>710</v>
      </c>
      <c r="F196" s="165"/>
      <c r="G196" s="159"/>
    </row>
    <row r="197" spans="1:7" s="62" customFormat="1" ht="17.25" customHeight="1">
      <c r="A197" s="157" t="s">
        <v>804</v>
      </c>
      <c r="B197" s="224" t="s">
        <v>987</v>
      </c>
      <c r="C197" s="157" t="s">
        <v>23</v>
      </c>
      <c r="D197" s="162" t="s">
        <v>23</v>
      </c>
      <c r="E197" s="190" t="s">
        <v>700</v>
      </c>
      <c r="F197" s="158">
        <v>6870414</v>
      </c>
      <c r="G197" s="162" t="s">
        <v>23</v>
      </c>
    </row>
    <row r="198" spans="1:7" s="62" customFormat="1" ht="17.25" customHeight="1">
      <c r="A198" s="184" t="s">
        <v>706</v>
      </c>
      <c r="B198" s="183">
        <v>477782158</v>
      </c>
      <c r="C198" s="183" t="s">
        <v>988</v>
      </c>
      <c r="D198" s="183" t="s">
        <v>989</v>
      </c>
      <c r="E198" s="200"/>
      <c r="F198" s="200"/>
      <c r="G198" s="200"/>
    </row>
    <row r="199" spans="1:7" s="62" customFormat="1" ht="17.25" customHeight="1">
      <c r="A199" s="157" t="s">
        <v>695</v>
      </c>
      <c r="B199" s="156">
        <v>1871365234</v>
      </c>
      <c r="C199" s="157" t="s">
        <v>990</v>
      </c>
      <c r="D199" s="158" t="s">
        <v>990</v>
      </c>
      <c r="E199" s="190" t="s">
        <v>710</v>
      </c>
      <c r="F199" s="199"/>
      <c r="G199" s="189"/>
    </row>
    <row r="200" spans="1:7" s="62" customFormat="1" ht="17.25" customHeight="1">
      <c r="A200" s="184" t="s">
        <v>723</v>
      </c>
      <c r="B200" s="183">
        <v>505601772</v>
      </c>
      <c r="C200" s="183" t="s">
        <v>991</v>
      </c>
      <c r="D200" s="183" t="s">
        <v>991</v>
      </c>
      <c r="E200" s="228"/>
      <c r="F200" s="228"/>
      <c r="G200" s="228"/>
    </row>
    <row r="201" spans="1:7" s="62" customFormat="1" ht="17.25" customHeight="1">
      <c r="A201" s="157" t="s">
        <v>714</v>
      </c>
      <c r="B201" s="156">
        <v>1010101551</v>
      </c>
      <c r="C201" s="157" t="s">
        <v>645</v>
      </c>
      <c r="D201" s="158" t="s">
        <v>992</v>
      </c>
      <c r="E201" s="190" t="s">
        <v>700</v>
      </c>
      <c r="F201" s="189">
        <v>10101617</v>
      </c>
      <c r="G201" s="162" t="s">
        <v>993</v>
      </c>
    </row>
    <row r="202" spans="1:7" s="62" customFormat="1" ht="17.25" customHeight="1">
      <c r="A202" s="157" t="s">
        <v>882</v>
      </c>
      <c r="B202" s="156">
        <v>35289501</v>
      </c>
      <c r="C202" s="157" t="s">
        <v>646</v>
      </c>
      <c r="D202" s="158" t="s">
        <v>994</v>
      </c>
      <c r="E202" s="161" t="s">
        <v>700</v>
      </c>
      <c r="F202" s="158">
        <v>10192943</v>
      </c>
      <c r="G202" s="158" t="s">
        <v>994</v>
      </c>
    </row>
    <row r="203" spans="1:7" s="62" customFormat="1" ht="17.25" customHeight="1">
      <c r="A203" s="157" t="s">
        <v>882</v>
      </c>
      <c r="B203" s="156">
        <v>28239752</v>
      </c>
      <c r="C203" s="157" t="s">
        <v>647</v>
      </c>
      <c r="D203" s="158" t="s">
        <v>995</v>
      </c>
      <c r="E203" s="190" t="s">
        <v>710</v>
      </c>
      <c r="F203" s="199"/>
      <c r="G203" s="189"/>
    </row>
    <row r="204" spans="1:7" s="62" customFormat="1" ht="17.25" customHeight="1">
      <c r="A204" s="184" t="s">
        <v>702</v>
      </c>
      <c r="B204" s="211">
        <v>1468914255</v>
      </c>
      <c r="C204" s="261" t="s">
        <v>996</v>
      </c>
      <c r="D204" s="228"/>
      <c r="E204" s="228"/>
      <c r="F204" s="262"/>
      <c r="G204" s="228"/>
    </row>
    <row r="205" spans="1:7" s="62" customFormat="1" ht="17.25" customHeight="1">
      <c r="A205" s="157" t="s">
        <v>723</v>
      </c>
      <c r="B205" s="173">
        <v>9717562</v>
      </c>
      <c r="C205" s="157" t="s">
        <v>648</v>
      </c>
      <c r="D205" s="158" t="s">
        <v>997</v>
      </c>
      <c r="E205" s="161" t="s">
        <v>802</v>
      </c>
      <c r="F205" s="165"/>
      <c r="G205" s="159"/>
    </row>
    <row r="206" spans="1:7" s="62" customFormat="1" ht="17.25" customHeight="1">
      <c r="A206" s="184" t="s">
        <v>796</v>
      </c>
      <c r="B206" s="183">
        <v>12519751</v>
      </c>
      <c r="C206" s="183" t="s">
        <v>998</v>
      </c>
      <c r="D206" s="183" t="s">
        <v>998</v>
      </c>
      <c r="E206" s="228"/>
      <c r="F206" s="228"/>
      <c r="G206" s="228"/>
    </row>
    <row r="207" spans="1:7" s="62" customFormat="1" ht="17.25" customHeight="1">
      <c r="A207" s="184" t="s">
        <v>723</v>
      </c>
      <c r="B207" s="183">
        <v>15810</v>
      </c>
      <c r="C207" s="183" t="s">
        <v>999</v>
      </c>
      <c r="D207" s="183" t="s">
        <v>1000</v>
      </c>
      <c r="E207" s="200"/>
      <c r="F207" s="200"/>
      <c r="G207" s="200"/>
    </row>
    <row r="208" spans="1:7" s="62" customFormat="1" ht="17.25" customHeight="1">
      <c r="A208" s="184" t="s">
        <v>706</v>
      </c>
      <c r="B208" s="183">
        <v>470231396</v>
      </c>
      <c r="C208" s="183" t="s">
        <v>1001</v>
      </c>
      <c r="D208" s="183" t="s">
        <v>1002</v>
      </c>
      <c r="E208" s="208"/>
      <c r="F208" s="208"/>
      <c r="G208" s="208"/>
    </row>
    <row r="209" spans="1:7" s="62" customFormat="1" ht="17.25" customHeight="1">
      <c r="A209" s="157" t="s">
        <v>796</v>
      </c>
      <c r="B209" s="156">
        <v>212474194</v>
      </c>
      <c r="C209" s="157" t="s">
        <v>649</v>
      </c>
      <c r="D209" s="158" t="s">
        <v>1004</v>
      </c>
      <c r="E209" s="161" t="s">
        <v>710</v>
      </c>
      <c r="F209" s="165"/>
      <c r="G209" s="159"/>
    </row>
    <row r="210" spans="1:7" s="62" customFormat="1" ht="17.25" customHeight="1">
      <c r="A210" s="184" t="s">
        <v>695</v>
      </c>
      <c r="B210" s="183" t="s">
        <v>1005</v>
      </c>
      <c r="C210" s="183" t="s">
        <v>1006</v>
      </c>
      <c r="D210" s="183" t="s">
        <v>1007</v>
      </c>
      <c r="E210" s="208"/>
      <c r="F210" s="208"/>
      <c r="G210" s="208"/>
    </row>
    <row r="211" spans="1:7" s="62" customFormat="1" ht="17.25" customHeight="1">
      <c r="A211" s="184" t="s">
        <v>823</v>
      </c>
      <c r="B211" s="211">
        <v>446567059</v>
      </c>
      <c r="C211" s="261" t="s">
        <v>1008</v>
      </c>
      <c r="D211" s="200"/>
      <c r="E211" s="200"/>
      <c r="F211" s="192">
        <v>10655515</v>
      </c>
      <c r="G211" s="200"/>
    </row>
    <row r="212" spans="1:7" s="62" customFormat="1" ht="17.25" customHeight="1">
      <c r="A212" s="188" t="s">
        <v>714</v>
      </c>
      <c r="B212" s="224" t="s">
        <v>1009</v>
      </c>
      <c r="C212" s="157" t="s">
        <v>650</v>
      </c>
      <c r="D212" s="158" t="s">
        <v>1010</v>
      </c>
      <c r="E212" s="161" t="s">
        <v>700</v>
      </c>
      <c r="F212" s="159">
        <v>10629326</v>
      </c>
      <c r="G212" s="159" t="s">
        <v>1011</v>
      </c>
    </row>
    <row r="213" spans="1:7" s="62" customFormat="1" ht="17.25" customHeight="1">
      <c r="A213" s="184" t="s">
        <v>695</v>
      </c>
      <c r="B213" s="183">
        <v>10086380</v>
      </c>
      <c r="C213" s="183" t="s">
        <v>1012</v>
      </c>
      <c r="D213" s="183" t="s">
        <v>1013</v>
      </c>
      <c r="E213" s="208"/>
      <c r="F213" s="208"/>
      <c r="G213" s="208"/>
    </row>
    <row r="214" spans="1:7" s="62" customFormat="1" ht="17.25" customHeight="1">
      <c r="A214" s="263" t="s">
        <v>882</v>
      </c>
      <c r="B214" s="156">
        <v>258556829</v>
      </c>
      <c r="C214" s="157" t="s">
        <v>62</v>
      </c>
      <c r="D214" s="158" t="s">
        <v>62</v>
      </c>
      <c r="E214" s="161" t="s">
        <v>700</v>
      </c>
      <c r="F214" s="159">
        <v>10628246</v>
      </c>
      <c r="G214" s="158" t="s">
        <v>62</v>
      </c>
    </row>
    <row r="215" spans="1:7" s="62" customFormat="1" ht="17.25" customHeight="1">
      <c r="A215" s="175" t="s">
        <v>714</v>
      </c>
      <c r="B215" s="264">
        <v>431532582</v>
      </c>
      <c r="C215" s="265" t="s">
        <v>1014</v>
      </c>
      <c r="D215" s="265" t="s">
        <v>1014</v>
      </c>
      <c r="E215" s="161" t="s">
        <v>700</v>
      </c>
      <c r="F215" s="159">
        <v>2771397</v>
      </c>
      <c r="G215" s="159" t="s">
        <v>1015</v>
      </c>
    </row>
    <row r="216" spans="1:7" s="62" customFormat="1" ht="17.25" customHeight="1">
      <c r="A216" s="157" t="s">
        <v>714</v>
      </c>
      <c r="B216" s="173">
        <v>285319301</v>
      </c>
      <c r="C216" s="175" t="s">
        <v>651</v>
      </c>
      <c r="D216" s="158" t="s">
        <v>1016</v>
      </c>
      <c r="E216" s="161" t="s">
        <v>710</v>
      </c>
      <c r="F216" s="165"/>
      <c r="G216" s="159"/>
    </row>
    <row r="217" spans="1:7" s="62" customFormat="1" ht="17.25" customHeight="1">
      <c r="A217" s="157" t="s">
        <v>804</v>
      </c>
      <c r="B217" s="156">
        <v>80505</v>
      </c>
      <c r="C217" s="157" t="s">
        <v>652</v>
      </c>
      <c r="D217" s="158" t="s">
        <v>652</v>
      </c>
      <c r="E217" s="161" t="s">
        <v>710</v>
      </c>
      <c r="F217" s="165"/>
      <c r="G217" s="159"/>
    </row>
    <row r="218" spans="1:7" s="62" customFormat="1" ht="17.25" customHeight="1">
      <c r="A218" s="157" t="s">
        <v>702</v>
      </c>
      <c r="B218" s="156">
        <v>108035689</v>
      </c>
      <c r="C218" s="157" t="s">
        <v>40</v>
      </c>
      <c r="D218" s="158" t="s">
        <v>40</v>
      </c>
      <c r="E218" s="190" t="s">
        <v>700</v>
      </c>
      <c r="F218" s="199">
        <v>10064719</v>
      </c>
      <c r="G218" s="162" t="s">
        <v>40</v>
      </c>
    </row>
    <row r="219" spans="1:7" s="62" customFormat="1" ht="17.25" customHeight="1">
      <c r="A219" s="157" t="s">
        <v>823</v>
      </c>
      <c r="B219" s="156">
        <v>526053465</v>
      </c>
      <c r="C219" s="157" t="s">
        <v>653</v>
      </c>
      <c r="D219" s="158" t="s">
        <v>653</v>
      </c>
      <c r="E219" s="161" t="s">
        <v>710</v>
      </c>
      <c r="F219" s="165"/>
      <c r="G219" s="159"/>
    </row>
    <row r="220" spans="1:7" s="62" customFormat="1" ht="17.25" customHeight="1">
      <c r="A220" s="157" t="s">
        <v>695</v>
      </c>
      <c r="B220" s="156">
        <v>10850097</v>
      </c>
      <c r="C220" s="157" t="s">
        <v>654</v>
      </c>
      <c r="D220" s="158" t="s">
        <v>1017</v>
      </c>
      <c r="E220" s="190" t="s">
        <v>710</v>
      </c>
      <c r="F220" s="165"/>
      <c r="G220" s="189"/>
    </row>
    <row r="221" spans="1:7" s="62" customFormat="1" ht="17.25" customHeight="1">
      <c r="A221" s="157" t="s">
        <v>751</v>
      </c>
      <c r="B221" s="156">
        <v>24982306</v>
      </c>
      <c r="C221" s="157" t="s">
        <v>51</v>
      </c>
      <c r="D221" s="158" t="s">
        <v>1018</v>
      </c>
      <c r="E221" s="161" t="s">
        <v>700</v>
      </c>
      <c r="F221" s="159">
        <v>10627559</v>
      </c>
      <c r="G221" s="158" t="s">
        <v>1019</v>
      </c>
    </row>
    <row r="222" spans="1:7" s="62" customFormat="1" ht="17.25" customHeight="1">
      <c r="A222" s="157" t="s">
        <v>714</v>
      </c>
      <c r="B222" s="156">
        <v>1830027556</v>
      </c>
      <c r="C222" s="157" t="s">
        <v>655</v>
      </c>
      <c r="D222" s="158" t="s">
        <v>655</v>
      </c>
      <c r="E222" s="190" t="s">
        <v>710</v>
      </c>
      <c r="F222" s="199"/>
      <c r="G222" s="189"/>
    </row>
    <row r="223" spans="1:7" s="62" customFormat="1" ht="17.25" customHeight="1">
      <c r="A223" s="266" t="s">
        <v>702</v>
      </c>
      <c r="B223" s="267">
        <v>2132435922</v>
      </c>
      <c r="C223" s="268" t="s">
        <v>1020</v>
      </c>
      <c r="D223" s="158"/>
      <c r="E223" s="190" t="s">
        <v>700</v>
      </c>
      <c r="F223" s="222">
        <v>10624500</v>
      </c>
      <c r="G223" s="222" t="s">
        <v>1021</v>
      </c>
    </row>
    <row r="224" spans="1:7" s="62" customFormat="1" ht="17.25" customHeight="1">
      <c r="A224" s="166" t="s">
        <v>702</v>
      </c>
      <c r="B224" s="269">
        <v>2132435922</v>
      </c>
      <c r="C224" s="270" t="s">
        <v>1020</v>
      </c>
      <c r="D224" s="158"/>
      <c r="E224" s="190" t="s">
        <v>700</v>
      </c>
      <c r="F224" s="222">
        <v>4948548</v>
      </c>
      <c r="G224" s="222" t="s">
        <v>1020</v>
      </c>
    </row>
    <row r="225" spans="1:7" s="62" customFormat="1" ht="17.25" customHeight="1">
      <c r="A225" s="184" t="s">
        <v>714</v>
      </c>
      <c r="B225" s="239">
        <v>480662886</v>
      </c>
      <c r="C225" s="239" t="s">
        <v>1022</v>
      </c>
      <c r="D225" s="178" t="s">
        <v>1023</v>
      </c>
      <c r="E225" s="200"/>
      <c r="F225" s="200"/>
      <c r="G225" s="200"/>
    </row>
    <row r="226" spans="1:7" s="62" customFormat="1" ht="17.25" customHeight="1">
      <c r="A226" s="184" t="s">
        <v>714</v>
      </c>
      <c r="B226" s="245">
        <v>480662886</v>
      </c>
      <c r="C226" s="245" t="s">
        <v>1022</v>
      </c>
      <c r="D226" s="183" t="s">
        <v>1023</v>
      </c>
      <c r="E226" s="148"/>
      <c r="F226" s="148"/>
      <c r="G226" s="148"/>
    </row>
    <row r="227" spans="1:7" s="62" customFormat="1" ht="17.25" customHeight="1">
      <c r="A227" s="253" t="s">
        <v>702</v>
      </c>
      <c r="B227" s="271">
        <v>441872026</v>
      </c>
      <c r="C227" s="272" t="s">
        <v>1024</v>
      </c>
      <c r="D227" s="158"/>
      <c r="E227" s="179" t="s">
        <v>700</v>
      </c>
      <c r="F227" s="159">
        <v>10146287</v>
      </c>
      <c r="G227" s="273" t="s">
        <v>1025</v>
      </c>
    </row>
    <row r="228" spans="1:7" s="62" customFormat="1" ht="17.25" customHeight="1">
      <c r="A228" s="184" t="s">
        <v>714</v>
      </c>
      <c r="B228" s="249">
        <v>327552140</v>
      </c>
      <c r="C228" s="180" t="s">
        <v>1026</v>
      </c>
      <c r="D228" s="233" t="s">
        <v>1027</v>
      </c>
      <c r="E228" s="228"/>
      <c r="F228" s="229">
        <v>10651844</v>
      </c>
      <c r="G228" s="228"/>
    </row>
    <row r="229" spans="1:7" s="62" customFormat="1" ht="17.25" customHeight="1">
      <c r="A229" s="253" t="s">
        <v>702</v>
      </c>
      <c r="B229" s="271">
        <v>438345816</v>
      </c>
      <c r="C229" s="272" t="s">
        <v>1028</v>
      </c>
      <c r="D229" s="158"/>
      <c r="E229" s="274" t="s">
        <v>802</v>
      </c>
      <c r="F229" s="165"/>
      <c r="G229" s="275"/>
    </row>
    <row r="230" spans="1:7" s="62" customFormat="1" ht="17.25" customHeight="1">
      <c r="A230" s="184" t="s">
        <v>702</v>
      </c>
      <c r="B230" s="245">
        <v>1087374746</v>
      </c>
      <c r="C230" s="245" t="s">
        <v>1029</v>
      </c>
      <c r="D230" s="245" t="s">
        <v>1029</v>
      </c>
      <c r="E230" s="208"/>
      <c r="F230" s="208"/>
      <c r="G230" s="208"/>
    </row>
    <row r="231" spans="1:7" s="62" customFormat="1" ht="17.25" customHeight="1">
      <c r="A231" s="184" t="s">
        <v>759</v>
      </c>
      <c r="B231" s="183">
        <v>84830087</v>
      </c>
      <c r="C231" s="183" t="s">
        <v>1030</v>
      </c>
      <c r="D231" s="183" t="s">
        <v>1031</v>
      </c>
      <c r="E231" s="148"/>
      <c r="F231" s="148"/>
      <c r="G231" s="148"/>
    </row>
    <row r="232" spans="1:7" s="62" customFormat="1" ht="17.25" customHeight="1">
      <c r="A232" s="184" t="s">
        <v>714</v>
      </c>
      <c r="B232" s="178">
        <v>701527753</v>
      </c>
      <c r="C232" s="178" t="s">
        <v>1032</v>
      </c>
      <c r="D232" s="178" t="s">
        <v>1032</v>
      </c>
      <c r="E232" s="228"/>
      <c r="F232" s="228"/>
      <c r="G232" s="228"/>
    </row>
    <row r="233" spans="1:7" ht="17.25" customHeight="1">
      <c r="A233" s="184" t="s">
        <v>714</v>
      </c>
      <c r="B233" s="183">
        <v>701527753</v>
      </c>
      <c r="C233" s="183" t="s">
        <v>1032</v>
      </c>
      <c r="D233" s="183" t="s">
        <v>1032</v>
      </c>
      <c r="E233" s="208"/>
      <c r="F233" s="208"/>
      <c r="G233" s="208"/>
    </row>
    <row r="234" spans="1:7" ht="17.25" customHeight="1">
      <c r="A234" s="171" t="s">
        <v>695</v>
      </c>
      <c r="B234" s="234">
        <v>487537846</v>
      </c>
      <c r="C234" s="235" t="s">
        <v>1033</v>
      </c>
      <c r="D234" s="158"/>
      <c r="E234" s="179" t="s">
        <v>700</v>
      </c>
      <c r="F234" s="165">
        <v>10640256</v>
      </c>
      <c r="G234" s="170" t="s">
        <v>1033</v>
      </c>
    </row>
    <row r="235" spans="1:7" ht="17.25" customHeight="1">
      <c r="A235" s="184" t="s">
        <v>702</v>
      </c>
      <c r="B235" s="178">
        <v>476046509</v>
      </c>
      <c r="C235" s="178" t="s">
        <v>1034</v>
      </c>
      <c r="D235" s="178" t="s">
        <v>1034</v>
      </c>
      <c r="E235" s="62"/>
      <c r="F235" s="62"/>
      <c r="G235" s="62"/>
    </row>
    <row r="236" spans="1:7" ht="17.25" customHeight="1">
      <c r="A236" s="184" t="s">
        <v>702</v>
      </c>
      <c r="B236" s="183">
        <v>476046509</v>
      </c>
      <c r="C236" s="183" t="s">
        <v>1034</v>
      </c>
      <c r="D236" s="183" t="s">
        <v>1034</v>
      </c>
      <c r="E236" s="208"/>
      <c r="F236" s="208"/>
      <c r="G236" s="208"/>
    </row>
    <row r="237" spans="1:7" ht="17.25" customHeight="1">
      <c r="A237" s="184" t="s">
        <v>714</v>
      </c>
      <c r="B237" s="183">
        <v>266775885</v>
      </c>
      <c r="C237" s="183" t="s">
        <v>1035</v>
      </c>
      <c r="D237" s="183" t="s">
        <v>1035</v>
      </c>
      <c r="E237" s="208"/>
      <c r="F237" s="208"/>
      <c r="G237" s="208"/>
    </row>
    <row r="238" spans="1:7" ht="17.25" customHeight="1">
      <c r="A238" s="226" t="s">
        <v>714</v>
      </c>
      <c r="B238" s="221" t="s">
        <v>1036</v>
      </c>
      <c r="C238" s="227" t="s">
        <v>1035</v>
      </c>
      <c r="D238" s="158" t="s">
        <v>1035</v>
      </c>
      <c r="E238" s="237" t="s">
        <v>802</v>
      </c>
      <c r="F238" s="219"/>
      <c r="G238" s="276"/>
    </row>
    <row r="239" spans="1:7" ht="17.25" customHeight="1">
      <c r="A239" s="184" t="s">
        <v>823</v>
      </c>
      <c r="B239" s="183">
        <v>474493516</v>
      </c>
      <c r="C239" s="183" t="s">
        <v>1037</v>
      </c>
      <c r="D239" s="183" t="s">
        <v>1037</v>
      </c>
    </row>
    <row r="240" spans="1:7" ht="17.25" customHeight="1">
      <c r="A240" s="184" t="s">
        <v>702</v>
      </c>
      <c r="B240" s="211">
        <v>610135541</v>
      </c>
      <c r="C240" s="261" t="s">
        <v>1038</v>
      </c>
      <c r="D240" s="184" t="s">
        <v>1038</v>
      </c>
      <c r="E240" s="62"/>
      <c r="F240" s="277"/>
      <c r="G240" s="62"/>
    </row>
    <row r="241" spans="1:7" ht="17.25" customHeight="1">
      <c r="A241" s="253" t="s">
        <v>702</v>
      </c>
      <c r="B241" s="178">
        <v>430967976</v>
      </c>
      <c r="C241" s="168" t="s">
        <v>656</v>
      </c>
      <c r="D241" s="241" t="s">
        <v>656</v>
      </c>
      <c r="E241" s="179" t="s">
        <v>700</v>
      </c>
      <c r="F241" s="159">
        <v>10629856</v>
      </c>
      <c r="G241" s="241" t="s">
        <v>656</v>
      </c>
    </row>
    <row r="242" spans="1:7" ht="17.25" customHeight="1">
      <c r="A242" s="230" t="s">
        <v>702</v>
      </c>
      <c r="B242" s="178">
        <v>1560647384</v>
      </c>
      <c r="C242" s="231" t="s">
        <v>1039</v>
      </c>
      <c r="D242" s="178"/>
      <c r="E242" s="62"/>
      <c r="F242" s="62"/>
      <c r="G242" s="62"/>
    </row>
    <row r="243" spans="1:7" ht="17.25" customHeight="1">
      <c r="A243" s="184" t="s">
        <v>796</v>
      </c>
      <c r="B243" s="183">
        <v>20039054</v>
      </c>
      <c r="C243" s="183" t="s">
        <v>1040</v>
      </c>
      <c r="D243" s="183" t="s">
        <v>1041</v>
      </c>
    </row>
    <row r="244" spans="1:7" ht="17.25" customHeight="1">
      <c r="A244" s="157" t="s">
        <v>714</v>
      </c>
      <c r="B244" s="173">
        <v>660271174</v>
      </c>
      <c r="C244" s="157" t="s">
        <v>1042</v>
      </c>
      <c r="D244" s="158" t="s">
        <v>1043</v>
      </c>
      <c r="E244" s="161" t="s">
        <v>700</v>
      </c>
      <c r="F244" s="159">
        <v>10262370</v>
      </c>
      <c r="G244" s="158" t="s">
        <v>1044</v>
      </c>
    </row>
    <row r="245" spans="1:7" ht="17.25" customHeight="1">
      <c r="A245" s="212" t="s">
        <v>714</v>
      </c>
      <c r="B245" s="278" t="s">
        <v>1045</v>
      </c>
      <c r="C245" s="278" t="s">
        <v>1046</v>
      </c>
      <c r="D245" s="118" t="s">
        <v>1047</v>
      </c>
      <c r="E245" s="126" t="s">
        <v>700</v>
      </c>
      <c r="F245" s="171">
        <v>10646772</v>
      </c>
      <c r="G245" s="279" t="s">
        <v>1048</v>
      </c>
    </row>
    <row r="246" spans="1:7" ht="17.25" customHeight="1">
      <c r="A246" s="184" t="s">
        <v>702</v>
      </c>
      <c r="B246" s="178">
        <v>1306353930</v>
      </c>
      <c r="C246" s="178" t="s">
        <v>1049</v>
      </c>
      <c r="D246" s="178" t="s">
        <v>1049</v>
      </c>
    </row>
    <row r="247" spans="1:7" ht="17.25" customHeight="1">
      <c r="A247" s="184" t="s">
        <v>702</v>
      </c>
      <c r="B247" s="183">
        <v>1306353930</v>
      </c>
      <c r="C247" s="183" t="s">
        <v>1049</v>
      </c>
      <c r="D247" s="183" t="s">
        <v>1049</v>
      </c>
    </row>
    <row r="248" spans="1:7" ht="17.25" customHeight="1">
      <c r="A248" s="253" t="s">
        <v>714</v>
      </c>
      <c r="B248" s="167">
        <v>384414527</v>
      </c>
      <c r="C248" s="254" t="s">
        <v>1050</v>
      </c>
      <c r="D248" s="158" t="s">
        <v>1051</v>
      </c>
      <c r="E248" s="179" t="s">
        <v>700</v>
      </c>
      <c r="F248" s="159">
        <v>10199711</v>
      </c>
      <c r="G248" s="280" t="s">
        <v>1052</v>
      </c>
    </row>
    <row r="249" spans="1:7" ht="17.25" customHeight="1">
      <c r="A249" s="171" t="s">
        <v>702</v>
      </c>
      <c r="B249" s="251">
        <v>694515425</v>
      </c>
      <c r="C249" s="281" t="s">
        <v>657</v>
      </c>
      <c r="D249" s="241" t="s">
        <v>657</v>
      </c>
      <c r="E249" s="161" t="s">
        <v>802</v>
      </c>
      <c r="F249" s="165"/>
      <c r="G249" s="273"/>
    </row>
    <row r="250" spans="1:7" ht="17.25" customHeight="1">
      <c r="A250" s="184" t="s">
        <v>706</v>
      </c>
      <c r="B250" s="183">
        <v>326411019</v>
      </c>
      <c r="C250" s="183" t="s">
        <v>1053</v>
      </c>
      <c r="D250" s="183" t="s">
        <v>1053</v>
      </c>
    </row>
    <row r="251" spans="1:7" ht="17.25" customHeight="1">
      <c r="A251" s="184" t="s">
        <v>785</v>
      </c>
      <c r="B251" s="183">
        <v>488059570</v>
      </c>
      <c r="C251" s="183" t="s">
        <v>1054</v>
      </c>
      <c r="D251" s="183" t="s">
        <v>1055</v>
      </c>
    </row>
    <row r="252" spans="1:7" ht="17.25" customHeight="1">
      <c r="A252" s="184" t="s">
        <v>702</v>
      </c>
      <c r="B252" s="178" t="s">
        <v>1056</v>
      </c>
      <c r="C252" s="178" t="s">
        <v>1057</v>
      </c>
      <c r="D252" s="178" t="s">
        <v>1058</v>
      </c>
    </row>
    <row r="253" spans="1:7" ht="17.25" customHeight="1">
      <c r="A253" s="184" t="s">
        <v>702</v>
      </c>
      <c r="B253" s="183" t="s">
        <v>1056</v>
      </c>
      <c r="C253" s="183" t="s">
        <v>1057</v>
      </c>
      <c r="D253" s="183" t="s">
        <v>1058</v>
      </c>
      <c r="E253" s="208"/>
      <c r="F253" s="208"/>
      <c r="G253" s="208"/>
    </row>
    <row r="254" spans="1:7" ht="17.25" customHeight="1">
      <c r="A254" s="253" t="s">
        <v>702</v>
      </c>
      <c r="B254" s="167">
        <v>33789941</v>
      </c>
      <c r="C254" s="168" t="s">
        <v>1059</v>
      </c>
      <c r="D254" s="241" t="s">
        <v>1059</v>
      </c>
      <c r="E254" s="179" t="s">
        <v>802</v>
      </c>
      <c r="F254" s="165"/>
      <c r="G254" s="273"/>
    </row>
    <row r="255" spans="1:7" ht="17.25" customHeight="1">
      <c r="A255" s="184" t="s">
        <v>702</v>
      </c>
      <c r="B255" s="183">
        <v>34955701</v>
      </c>
      <c r="C255" s="183" t="s">
        <v>1060</v>
      </c>
      <c r="D255" s="183" t="s">
        <v>1060</v>
      </c>
      <c r="E255" s="208"/>
      <c r="F255" s="208"/>
      <c r="G255" s="208"/>
    </row>
    <row r="256" spans="1:7" ht="17.25" customHeight="1">
      <c r="A256" s="184" t="s">
        <v>702</v>
      </c>
      <c r="B256" s="183">
        <v>1085299926</v>
      </c>
      <c r="C256" s="183" t="s">
        <v>1061</v>
      </c>
      <c r="D256" s="183" t="s">
        <v>1062</v>
      </c>
      <c r="E256" s="208"/>
      <c r="F256" s="208"/>
      <c r="G256" s="208"/>
    </row>
    <row r="257" spans="1:7" ht="17.25" customHeight="1">
      <c r="A257" s="212" t="s">
        <v>823</v>
      </c>
      <c r="B257" s="167">
        <v>453478869</v>
      </c>
      <c r="C257" s="282" t="s">
        <v>658</v>
      </c>
      <c r="D257" s="158" t="s">
        <v>1063</v>
      </c>
      <c r="E257" s="161" t="s">
        <v>700</v>
      </c>
      <c r="F257" s="171">
        <v>8736991</v>
      </c>
      <c r="G257" s="171" t="s">
        <v>1064</v>
      </c>
    </row>
    <row r="258" spans="1:7" ht="17.25" customHeight="1">
      <c r="A258" s="184" t="s">
        <v>714</v>
      </c>
      <c r="B258" s="211">
        <v>391943536</v>
      </c>
      <c r="C258" s="184" t="s">
        <v>1065</v>
      </c>
      <c r="D258" s="208"/>
      <c r="E258" s="208"/>
      <c r="F258" s="192"/>
      <c r="G258" s="208"/>
    </row>
    <row r="259" spans="1:7" ht="17.25" customHeight="1">
      <c r="A259" s="184" t="s">
        <v>702</v>
      </c>
      <c r="B259" s="183">
        <v>520324999</v>
      </c>
      <c r="C259" s="183" t="s">
        <v>1066</v>
      </c>
      <c r="D259" s="183" t="s">
        <v>1067</v>
      </c>
      <c r="E259" s="208"/>
      <c r="F259" s="208"/>
      <c r="G259" s="208"/>
    </row>
    <row r="260" spans="1:7" ht="17.25" customHeight="1">
      <c r="A260" s="184" t="s">
        <v>804</v>
      </c>
      <c r="B260" s="183" t="s">
        <v>1068</v>
      </c>
      <c r="C260" s="183" t="s">
        <v>1069</v>
      </c>
      <c r="D260" s="183" t="s">
        <v>1070</v>
      </c>
      <c r="F260" s="148"/>
      <c r="G260" s="148"/>
    </row>
    <row r="261" spans="1:7" ht="17.25" customHeight="1">
      <c r="A261" s="212" t="s">
        <v>714</v>
      </c>
      <c r="B261" s="167">
        <v>510789167</v>
      </c>
      <c r="C261" s="221" t="s">
        <v>1071</v>
      </c>
      <c r="D261" s="158"/>
      <c r="E261" s="126" t="s">
        <v>700</v>
      </c>
      <c r="F261" s="279">
        <v>5054244</v>
      </c>
      <c r="G261" s="279" t="s">
        <v>1072</v>
      </c>
    </row>
    <row r="262" spans="1:7" ht="17.25" customHeight="1">
      <c r="A262" s="283" t="s">
        <v>796</v>
      </c>
      <c r="B262" s="178">
        <v>348615390</v>
      </c>
      <c r="C262" s="281" t="s">
        <v>659</v>
      </c>
      <c r="D262" s="158" t="s">
        <v>1073</v>
      </c>
      <c r="E262" s="126" t="s">
        <v>700</v>
      </c>
      <c r="F262" s="204">
        <v>10627972</v>
      </c>
      <c r="G262" s="279" t="s">
        <v>1073</v>
      </c>
    </row>
    <row r="263" spans="1:7" ht="17.25" customHeight="1">
      <c r="A263" s="184" t="s">
        <v>702</v>
      </c>
      <c r="B263" s="183" t="s">
        <v>1074</v>
      </c>
      <c r="C263" s="183" t="s">
        <v>1075</v>
      </c>
      <c r="D263" s="225" t="s">
        <v>1076</v>
      </c>
      <c r="F263" s="208"/>
    </row>
    <row r="264" spans="1:7" ht="17.25" customHeight="1">
      <c r="A264" s="184" t="s">
        <v>706</v>
      </c>
      <c r="B264" s="183">
        <v>41032229</v>
      </c>
      <c r="C264" s="183" t="s">
        <v>1077</v>
      </c>
      <c r="D264" s="183" t="s">
        <v>1078</v>
      </c>
      <c r="E264" s="208"/>
      <c r="F264" s="208"/>
      <c r="G264" s="208"/>
    </row>
    <row r="265" spans="1:7" ht="17.25" customHeight="1">
      <c r="A265" s="184" t="s">
        <v>702</v>
      </c>
      <c r="B265" s="183">
        <v>474038287</v>
      </c>
      <c r="C265" s="183" t="s">
        <v>1079</v>
      </c>
      <c r="D265" s="183" t="s">
        <v>1080</v>
      </c>
    </row>
    <row r="266" spans="1:7" ht="17.25" customHeight="1">
      <c r="A266" s="171" t="s">
        <v>714</v>
      </c>
      <c r="B266" s="251">
        <v>1717082507</v>
      </c>
      <c r="C266" s="235" t="s">
        <v>1081</v>
      </c>
      <c r="D266" s="158"/>
      <c r="E266" s="126" t="s">
        <v>700</v>
      </c>
      <c r="F266" s="219"/>
      <c r="G266" s="284"/>
    </row>
    <row r="267" spans="1:7" ht="17.25" customHeight="1">
      <c r="A267" s="188" t="s">
        <v>763</v>
      </c>
      <c r="B267" s="173">
        <v>273814700</v>
      </c>
      <c r="C267" s="156" t="s">
        <v>83</v>
      </c>
      <c r="D267" s="158" t="s">
        <v>83</v>
      </c>
      <c r="E267" s="126" t="s">
        <v>700</v>
      </c>
      <c r="F267" s="159">
        <v>2164951</v>
      </c>
      <c r="G267" s="246" t="s">
        <v>83</v>
      </c>
    </row>
    <row r="268" spans="1:7" ht="17.25" customHeight="1">
      <c r="A268" s="285" t="s">
        <v>714</v>
      </c>
      <c r="B268" s="243">
        <v>11463180</v>
      </c>
      <c r="C268" s="285" t="s">
        <v>1082</v>
      </c>
      <c r="D268" s="286" t="s">
        <v>1082</v>
      </c>
      <c r="E268" s="161" t="s">
        <v>700</v>
      </c>
      <c r="F268" s="159">
        <v>10647623</v>
      </c>
      <c r="G268" s="171" t="s">
        <v>1082</v>
      </c>
    </row>
    <row r="269" spans="1:7" ht="17.25" customHeight="1">
      <c r="A269" s="253" t="s">
        <v>695</v>
      </c>
      <c r="B269" s="178">
        <v>293813185</v>
      </c>
      <c r="C269" s="254" t="s">
        <v>1083</v>
      </c>
      <c r="D269" s="158"/>
      <c r="E269" s="237" t="s">
        <v>700</v>
      </c>
      <c r="F269" s="165">
        <v>9118426</v>
      </c>
      <c r="G269" s="287" t="s">
        <v>1084</v>
      </c>
    </row>
    <row r="270" spans="1:7" ht="17.25" customHeight="1">
      <c r="A270" s="253" t="s">
        <v>695</v>
      </c>
      <c r="B270" s="178">
        <v>293813185</v>
      </c>
      <c r="C270" s="254" t="s">
        <v>1083</v>
      </c>
      <c r="D270" s="158"/>
      <c r="E270" s="179" t="s">
        <v>700</v>
      </c>
      <c r="F270" s="171">
        <v>4939088</v>
      </c>
      <c r="G270" s="171" t="s">
        <v>1085</v>
      </c>
    </row>
    <row r="271" spans="1:7" ht="17.25" customHeight="1">
      <c r="A271" s="253" t="s">
        <v>695</v>
      </c>
      <c r="B271" s="178">
        <v>293813185</v>
      </c>
      <c r="C271" s="254" t="s">
        <v>1083</v>
      </c>
      <c r="D271" s="118"/>
      <c r="E271" s="237" t="s">
        <v>700</v>
      </c>
      <c r="F271" s="171">
        <v>10613794</v>
      </c>
      <c r="G271" s="279" t="s">
        <v>1086</v>
      </c>
    </row>
    <row r="272" spans="1:7" ht="17.25" customHeight="1">
      <c r="A272" s="253" t="s">
        <v>714</v>
      </c>
      <c r="B272" s="167">
        <v>495958495</v>
      </c>
      <c r="C272" s="168" t="s">
        <v>660</v>
      </c>
      <c r="D272" s="241" t="s">
        <v>660</v>
      </c>
      <c r="E272" s="237" t="s">
        <v>700</v>
      </c>
      <c r="F272" s="279">
        <v>10629895</v>
      </c>
      <c r="G272" s="288" t="s">
        <v>1087</v>
      </c>
    </row>
    <row r="273" spans="1:7" ht="17.25" customHeight="1">
      <c r="A273" s="230" t="s">
        <v>702</v>
      </c>
      <c r="B273" s="178">
        <v>696207202</v>
      </c>
      <c r="C273" s="178" t="s">
        <v>1088</v>
      </c>
      <c r="D273" s="178"/>
      <c r="E273" s="237" t="s">
        <v>700</v>
      </c>
      <c r="F273" s="288">
        <v>10653254</v>
      </c>
      <c r="G273" s="289" t="s">
        <v>1089</v>
      </c>
    </row>
    <row r="274" spans="1:7" ht="17.25" customHeight="1">
      <c r="A274" s="184" t="s">
        <v>702</v>
      </c>
      <c r="B274" s="178" t="s">
        <v>1090</v>
      </c>
      <c r="C274" s="178" t="s">
        <v>1091</v>
      </c>
      <c r="D274" s="178" t="s">
        <v>1091</v>
      </c>
      <c r="E274" s="208"/>
      <c r="F274" s="208"/>
      <c r="G274" s="208"/>
    </row>
    <row r="275" spans="1:7" ht="17.25" customHeight="1">
      <c r="A275" s="184" t="s">
        <v>702</v>
      </c>
      <c r="B275" s="183" t="s">
        <v>1090</v>
      </c>
      <c r="C275" s="183" t="s">
        <v>1091</v>
      </c>
      <c r="D275" s="225" t="s">
        <v>1091</v>
      </c>
      <c r="F275" s="208"/>
    </row>
    <row r="276" spans="1:7" ht="17.25" customHeight="1">
      <c r="A276" s="184" t="s">
        <v>702</v>
      </c>
      <c r="B276" s="178">
        <v>252153158</v>
      </c>
      <c r="C276" s="178" t="s">
        <v>1092</v>
      </c>
      <c r="D276" s="178" t="s">
        <v>1092</v>
      </c>
      <c r="E276" s="208"/>
      <c r="F276" s="208"/>
      <c r="G276" s="208"/>
    </row>
    <row r="277" spans="1:7" ht="17.25" customHeight="1">
      <c r="A277" s="184" t="s">
        <v>702</v>
      </c>
      <c r="B277" s="183">
        <v>252153158</v>
      </c>
      <c r="C277" s="183" t="s">
        <v>1092</v>
      </c>
      <c r="D277" s="225" t="s">
        <v>1092</v>
      </c>
      <c r="F277" s="208"/>
    </row>
    <row r="278" spans="1:7" ht="17.25" customHeight="1">
      <c r="A278" s="184" t="s">
        <v>702</v>
      </c>
      <c r="B278" s="211">
        <v>1175669746</v>
      </c>
      <c r="C278" s="184" t="s">
        <v>1093</v>
      </c>
      <c r="D278" s="208"/>
      <c r="F278" s="277"/>
    </row>
    <row r="279" spans="1:7" ht="17.25" customHeight="1">
      <c r="A279" s="212" t="s">
        <v>702</v>
      </c>
      <c r="B279" s="167">
        <v>293736146</v>
      </c>
      <c r="C279" s="290" t="s">
        <v>661</v>
      </c>
      <c r="D279" s="169" t="s">
        <v>1094</v>
      </c>
      <c r="E279" s="126" t="s">
        <v>700</v>
      </c>
      <c r="F279" s="279">
        <v>2850804</v>
      </c>
      <c r="G279" s="279" t="s">
        <v>1095</v>
      </c>
    </row>
    <row r="280" spans="1:7" ht="17.25" customHeight="1">
      <c r="A280" s="184" t="s">
        <v>823</v>
      </c>
      <c r="B280" s="183">
        <v>1811673534</v>
      </c>
      <c r="C280" s="183" t="s">
        <v>1096</v>
      </c>
      <c r="D280" s="183" t="s">
        <v>1097</v>
      </c>
      <c r="E280" s="208"/>
      <c r="F280" s="208"/>
      <c r="G280" s="208"/>
    </row>
    <row r="281" spans="1:7" ht="17.25" customHeight="1">
      <c r="A281" s="184" t="s">
        <v>714</v>
      </c>
      <c r="B281" s="178">
        <v>484236537</v>
      </c>
      <c r="C281" s="178" t="s">
        <v>1098</v>
      </c>
      <c r="D281" s="292" t="s">
        <v>1099</v>
      </c>
      <c r="F281" s="208"/>
    </row>
    <row r="282" spans="1:7" ht="17.25" customHeight="1">
      <c r="A282" s="184" t="s">
        <v>714</v>
      </c>
      <c r="B282" s="183">
        <v>484236537</v>
      </c>
      <c r="C282" s="183" t="s">
        <v>1098</v>
      </c>
      <c r="D282" s="183" t="s">
        <v>1099</v>
      </c>
      <c r="E282" s="208"/>
      <c r="F282" s="208"/>
      <c r="G282" s="208"/>
    </row>
    <row r="283" spans="1:7" ht="17.25" customHeight="1">
      <c r="A283" s="184" t="s">
        <v>714</v>
      </c>
      <c r="B283" s="191">
        <v>124458240</v>
      </c>
      <c r="C283" s="191" t="s">
        <v>1100</v>
      </c>
      <c r="D283" s="178"/>
      <c r="F283" s="277">
        <v>9083731</v>
      </c>
    </row>
    <row r="284" spans="1:7" ht="17.25" customHeight="1">
      <c r="A284" s="253" t="s">
        <v>823</v>
      </c>
      <c r="B284" s="167">
        <v>1717066021</v>
      </c>
      <c r="C284" s="168" t="s">
        <v>662</v>
      </c>
      <c r="D284" s="241" t="s">
        <v>662</v>
      </c>
      <c r="E284" s="237" t="s">
        <v>700</v>
      </c>
      <c r="F284" s="204">
        <v>10629381</v>
      </c>
      <c r="G284" s="293" t="s">
        <v>662</v>
      </c>
    </row>
    <row r="285" spans="1:7" ht="17.25" customHeight="1">
      <c r="A285" s="184" t="s">
        <v>702</v>
      </c>
      <c r="B285" s="211">
        <v>15611140</v>
      </c>
      <c r="C285" s="184" t="s">
        <v>1101</v>
      </c>
      <c r="D285" s="233" t="s">
        <v>1102</v>
      </c>
      <c r="F285" s="277"/>
    </row>
    <row r="286" spans="1:7" ht="17.25" customHeight="1">
      <c r="A286" s="253" t="s">
        <v>702</v>
      </c>
      <c r="B286" s="167">
        <v>1052923782</v>
      </c>
      <c r="C286" s="254" t="s">
        <v>663</v>
      </c>
      <c r="D286" s="158" t="s">
        <v>1103</v>
      </c>
      <c r="E286" s="179" t="s">
        <v>700</v>
      </c>
      <c r="F286" s="159">
        <v>10629386</v>
      </c>
      <c r="G286" s="273" t="s">
        <v>1104</v>
      </c>
    </row>
    <row r="287" spans="1:7" ht="17.25" customHeight="1">
      <c r="A287" s="184" t="s">
        <v>702</v>
      </c>
      <c r="B287" s="211">
        <v>367409090</v>
      </c>
      <c r="C287" s="184" t="s">
        <v>1105</v>
      </c>
      <c r="D287" s="208"/>
      <c r="F287" s="277"/>
    </row>
    <row r="288" spans="1:7" ht="17.25" customHeight="1">
      <c r="A288" s="184" t="s">
        <v>702</v>
      </c>
      <c r="B288" s="178">
        <v>516421304</v>
      </c>
      <c r="C288" s="178" t="s">
        <v>1106</v>
      </c>
      <c r="D288" s="178" t="s">
        <v>1107</v>
      </c>
    </row>
    <row r="289" spans="1:7" ht="17.25" customHeight="1">
      <c r="A289" s="184" t="s">
        <v>702</v>
      </c>
      <c r="B289" s="183">
        <v>516421304</v>
      </c>
      <c r="C289" s="183" t="s">
        <v>1106</v>
      </c>
      <c r="D289" s="183" t="s">
        <v>1107</v>
      </c>
    </row>
    <row r="290" spans="1:7" ht="17.25" customHeight="1">
      <c r="A290" s="184" t="s">
        <v>706</v>
      </c>
      <c r="B290" s="183">
        <v>1042590734</v>
      </c>
      <c r="C290" s="183" t="s">
        <v>1108</v>
      </c>
      <c r="D290" s="183" t="s">
        <v>1108</v>
      </c>
      <c r="E290" s="208"/>
      <c r="F290" s="208"/>
      <c r="G290" s="208"/>
    </row>
    <row r="291" spans="1:7" ht="17.25" customHeight="1">
      <c r="A291" s="253" t="s">
        <v>714</v>
      </c>
      <c r="B291" s="178">
        <v>593920494</v>
      </c>
      <c r="C291" s="254" t="s">
        <v>664</v>
      </c>
      <c r="D291" s="158" t="s">
        <v>1109</v>
      </c>
      <c r="E291" s="237" t="s">
        <v>700</v>
      </c>
      <c r="F291" s="219"/>
      <c r="G291" s="284"/>
    </row>
    <row r="292" spans="1:7" ht="17.25" customHeight="1">
      <c r="A292" s="184" t="s">
        <v>714</v>
      </c>
      <c r="B292" s="211">
        <v>353931360</v>
      </c>
      <c r="C292" s="184" t="s">
        <v>1110</v>
      </c>
      <c r="D292" s="208"/>
      <c r="F292" s="277">
        <v>5759691</v>
      </c>
    </row>
    <row r="293" spans="1:7" ht="17.25" customHeight="1">
      <c r="A293" s="258" t="s">
        <v>796</v>
      </c>
      <c r="B293" s="259">
        <v>9031136</v>
      </c>
      <c r="C293" s="260" t="s">
        <v>1111</v>
      </c>
      <c r="D293" s="158" t="s">
        <v>1112</v>
      </c>
      <c r="E293" s="237" t="s">
        <v>802</v>
      </c>
      <c r="F293" s="219"/>
      <c r="G293" s="276"/>
    </row>
    <row r="294" spans="1:7" ht="17.25" customHeight="1">
      <c r="A294" s="184" t="s">
        <v>702</v>
      </c>
      <c r="B294" s="211">
        <v>2028122299</v>
      </c>
      <c r="C294" s="294" t="s">
        <v>1113</v>
      </c>
      <c r="D294" s="208"/>
      <c r="F294" s="277"/>
    </row>
    <row r="295" spans="1:7" ht="17.25" customHeight="1">
      <c r="A295" s="184" t="s">
        <v>702</v>
      </c>
      <c r="B295" s="183">
        <v>355219045</v>
      </c>
      <c r="C295" s="183" t="s">
        <v>1114</v>
      </c>
      <c r="D295" s="183" t="s">
        <v>1115</v>
      </c>
    </row>
    <row r="296" spans="1:7" ht="17.25" customHeight="1">
      <c r="A296" s="184" t="s">
        <v>796</v>
      </c>
      <c r="B296" s="183">
        <v>9199433</v>
      </c>
      <c r="C296" s="183" t="s">
        <v>1116</v>
      </c>
      <c r="D296" s="183" t="s">
        <v>1117</v>
      </c>
    </row>
    <row r="297" spans="1:7" ht="17.25" customHeight="1">
      <c r="A297" s="212" t="s">
        <v>882</v>
      </c>
      <c r="B297" s="167">
        <v>25016759</v>
      </c>
      <c r="C297" s="221" t="s">
        <v>1118</v>
      </c>
      <c r="D297" s="158"/>
      <c r="E297" s="126" t="s">
        <v>700</v>
      </c>
      <c r="F297" s="279">
        <v>10626108</v>
      </c>
      <c r="G297" s="279" t="s">
        <v>1119</v>
      </c>
    </row>
    <row r="298" spans="1:7" ht="17.25" customHeight="1">
      <c r="A298" s="184" t="s">
        <v>714</v>
      </c>
      <c r="B298" s="211" t="s">
        <v>1120</v>
      </c>
      <c r="C298" s="184" t="s">
        <v>1121</v>
      </c>
      <c r="D298" s="208"/>
      <c r="F298" s="277">
        <v>10627314</v>
      </c>
    </row>
    <row r="299" spans="1:7" ht="17.25" customHeight="1">
      <c r="A299" s="212" t="s">
        <v>714</v>
      </c>
      <c r="B299" s="167">
        <v>1279287373</v>
      </c>
      <c r="C299" s="221" t="s">
        <v>665</v>
      </c>
      <c r="D299" s="232" t="s">
        <v>665</v>
      </c>
      <c r="E299" s="126" t="s">
        <v>700</v>
      </c>
      <c r="F299" s="279">
        <v>10229644</v>
      </c>
      <c r="G299" s="279" t="s">
        <v>665</v>
      </c>
    </row>
    <row r="300" spans="1:7" ht="17.25" customHeight="1">
      <c r="A300" s="184" t="s">
        <v>706</v>
      </c>
      <c r="B300" s="183">
        <v>486984223</v>
      </c>
      <c r="C300" s="183" t="s">
        <v>1122</v>
      </c>
      <c r="D300" s="225" t="s">
        <v>1123</v>
      </c>
      <c r="F300" s="208"/>
    </row>
    <row r="301" spans="1:7" ht="17.25" customHeight="1">
      <c r="A301" s="184" t="s">
        <v>702</v>
      </c>
      <c r="B301" s="183">
        <v>279661</v>
      </c>
      <c r="C301" s="183" t="s">
        <v>1124</v>
      </c>
      <c r="D301" s="183" t="s">
        <v>1125</v>
      </c>
    </row>
    <row r="302" spans="1:7" ht="17.25" customHeight="1">
      <c r="A302" s="184" t="s">
        <v>695</v>
      </c>
      <c r="B302" s="183">
        <v>16532816</v>
      </c>
      <c r="C302" s="183" t="s">
        <v>1126</v>
      </c>
      <c r="D302" s="183" t="s">
        <v>1127</v>
      </c>
    </row>
    <row r="303" spans="1:7" ht="17.25" customHeight="1">
      <c r="A303" s="157" t="s">
        <v>714</v>
      </c>
      <c r="B303" s="224" t="s">
        <v>1128</v>
      </c>
      <c r="C303" s="157" t="s">
        <v>1129</v>
      </c>
      <c r="D303" s="158" t="s">
        <v>1130</v>
      </c>
      <c r="E303" s="126" t="s">
        <v>700</v>
      </c>
      <c r="F303" s="204">
        <v>10586872</v>
      </c>
      <c r="G303" s="204" t="s">
        <v>1131</v>
      </c>
    </row>
    <row r="304" spans="1:7" ht="17.25" customHeight="1">
      <c r="A304" s="184" t="s">
        <v>796</v>
      </c>
      <c r="B304" s="183" t="s">
        <v>1132</v>
      </c>
      <c r="C304" s="183" t="s">
        <v>1133</v>
      </c>
      <c r="D304" s="183" t="s">
        <v>1134</v>
      </c>
    </row>
    <row r="305" spans="1:7" ht="17.25" customHeight="1">
      <c r="A305" s="184" t="s">
        <v>796</v>
      </c>
      <c r="B305" s="183">
        <v>551355161</v>
      </c>
      <c r="C305" s="183" t="s">
        <v>1135</v>
      </c>
      <c r="D305" s="183" t="s">
        <v>1135</v>
      </c>
    </row>
    <row r="306" spans="1:7" ht="17.25" customHeight="1">
      <c r="A306" s="184" t="s">
        <v>695</v>
      </c>
      <c r="B306" s="183">
        <v>52089170</v>
      </c>
      <c r="C306" s="183" t="s">
        <v>1136</v>
      </c>
      <c r="D306" s="183" t="s">
        <v>1137</v>
      </c>
    </row>
    <row r="307" spans="1:7" ht="17.25" customHeight="1">
      <c r="A307" s="253" t="s">
        <v>714</v>
      </c>
      <c r="B307" s="167">
        <v>409759961</v>
      </c>
      <c r="C307" s="254" t="s">
        <v>1138</v>
      </c>
      <c r="D307" s="158"/>
      <c r="E307" s="237" t="s">
        <v>802</v>
      </c>
      <c r="F307" s="219"/>
      <c r="G307" s="128"/>
    </row>
    <row r="308" spans="1:7" ht="17.25" customHeight="1">
      <c r="A308" s="184" t="s">
        <v>706</v>
      </c>
      <c r="B308" s="183">
        <v>15832838</v>
      </c>
      <c r="C308" s="183" t="s">
        <v>1139</v>
      </c>
      <c r="D308" s="295" t="s">
        <v>1140</v>
      </c>
    </row>
    <row r="309" spans="1:7" ht="17.25" customHeight="1">
      <c r="A309" s="184" t="s">
        <v>695</v>
      </c>
      <c r="B309" s="183" t="s">
        <v>1141</v>
      </c>
      <c r="C309" s="183" t="s">
        <v>1142</v>
      </c>
      <c r="D309" s="296" t="s">
        <v>1142</v>
      </c>
    </row>
    <row r="310" spans="1:7" ht="17.25" customHeight="1">
      <c r="A310" s="184" t="s">
        <v>751</v>
      </c>
      <c r="B310" s="183">
        <v>2103532278</v>
      </c>
      <c r="C310" s="183" t="s">
        <v>1143</v>
      </c>
      <c r="D310" s="225" t="s">
        <v>1144</v>
      </c>
      <c r="F310" s="208"/>
    </row>
    <row r="311" spans="1:7" ht="17.25" customHeight="1">
      <c r="A311" s="184" t="s">
        <v>823</v>
      </c>
      <c r="B311" s="183" t="s">
        <v>1145</v>
      </c>
      <c r="C311" s="183" t="s">
        <v>1146</v>
      </c>
      <c r="D311" s="183" t="s">
        <v>1147</v>
      </c>
    </row>
    <row r="312" spans="1:7" ht="17.25" customHeight="1">
      <c r="A312" s="184" t="s">
        <v>706</v>
      </c>
      <c r="B312" s="183" t="s">
        <v>1148</v>
      </c>
      <c r="C312" s="183" t="s">
        <v>1149</v>
      </c>
      <c r="D312" s="183" t="s">
        <v>1150</v>
      </c>
    </row>
    <row r="313" spans="1:7" ht="17.25" customHeight="1">
      <c r="A313" s="184" t="s">
        <v>759</v>
      </c>
      <c r="B313" s="183">
        <v>1339268</v>
      </c>
      <c r="C313" s="183" t="s">
        <v>1151</v>
      </c>
      <c r="D313" s="183" t="s">
        <v>1152</v>
      </c>
    </row>
    <row r="314" spans="1:7" ht="17.25" customHeight="1">
      <c r="A314" s="184" t="s">
        <v>723</v>
      </c>
      <c r="B314" s="183">
        <v>193406026</v>
      </c>
      <c r="C314" s="183" t="s">
        <v>1153</v>
      </c>
      <c r="D314" s="183" t="s">
        <v>1154</v>
      </c>
    </row>
    <row r="315" spans="1:7" ht="17.25" customHeight="1">
      <c r="A315" s="184" t="s">
        <v>695</v>
      </c>
      <c r="B315" s="183">
        <v>277276709</v>
      </c>
      <c r="C315" s="183" t="s">
        <v>1155</v>
      </c>
      <c r="D315" s="183" t="s">
        <v>1156</v>
      </c>
    </row>
    <row r="316" spans="1:7" ht="17.25" customHeight="1">
      <c r="A316" s="184" t="s">
        <v>702</v>
      </c>
      <c r="B316" s="178">
        <v>302639431</v>
      </c>
      <c r="C316" s="178" t="s">
        <v>1157</v>
      </c>
      <c r="D316" s="178" t="s">
        <v>1158</v>
      </c>
    </row>
    <row r="317" spans="1:7" ht="17.25" customHeight="1">
      <c r="A317" s="184" t="s">
        <v>702</v>
      </c>
      <c r="B317" s="183">
        <v>302639431</v>
      </c>
      <c r="C317" s="183" t="s">
        <v>1157</v>
      </c>
      <c r="D317" s="183" t="s">
        <v>1158</v>
      </c>
      <c r="E317" s="208"/>
      <c r="F317" s="208"/>
      <c r="G317" s="208"/>
    </row>
    <row r="318" spans="1:7" ht="17.25" customHeight="1">
      <c r="A318" s="184" t="s">
        <v>823</v>
      </c>
      <c r="B318" s="211">
        <v>605926974</v>
      </c>
      <c r="C318" s="184" t="s">
        <v>1159</v>
      </c>
      <c r="D318" s="208"/>
      <c r="F318" s="277"/>
    </row>
    <row r="319" spans="1:7" ht="17.25" customHeight="1">
      <c r="A319" s="184" t="s">
        <v>714</v>
      </c>
      <c r="B319" s="183">
        <v>1606439161</v>
      </c>
      <c r="C319" s="183" t="s">
        <v>1160</v>
      </c>
      <c r="D319" s="183" t="s">
        <v>1161</v>
      </c>
    </row>
    <row r="320" spans="1:7" ht="17.25" customHeight="1">
      <c r="A320" s="184" t="s">
        <v>702</v>
      </c>
      <c r="B320" s="178" t="s">
        <v>1162</v>
      </c>
      <c r="C320" s="178" t="s">
        <v>1163</v>
      </c>
      <c r="D320" s="178" t="s">
        <v>1164</v>
      </c>
    </row>
    <row r="321" spans="1:7" ht="17.25" customHeight="1">
      <c r="A321" s="184" t="s">
        <v>702</v>
      </c>
      <c r="B321" s="183" t="s">
        <v>1162</v>
      </c>
      <c r="C321" s="183" t="s">
        <v>1163</v>
      </c>
      <c r="D321" s="183" t="s">
        <v>1164</v>
      </c>
    </row>
    <row r="322" spans="1:7" ht="17.25" customHeight="1">
      <c r="A322" s="184" t="s">
        <v>706</v>
      </c>
      <c r="B322" s="183">
        <v>46526936</v>
      </c>
      <c r="C322" s="183" t="s">
        <v>1165</v>
      </c>
      <c r="D322" s="183" t="s">
        <v>1165</v>
      </c>
      <c r="E322" s="208"/>
      <c r="F322" s="208"/>
      <c r="G322" s="208"/>
    </row>
    <row r="323" spans="1:7" ht="17.25" customHeight="1">
      <c r="A323" s="184" t="s">
        <v>714</v>
      </c>
      <c r="B323" s="178">
        <v>359420036</v>
      </c>
      <c r="C323" s="178" t="s">
        <v>1166</v>
      </c>
      <c r="D323" s="178" t="s">
        <v>1167</v>
      </c>
    </row>
    <row r="324" spans="1:7" ht="17.25" customHeight="1">
      <c r="A324" s="184" t="s">
        <v>714</v>
      </c>
      <c r="B324" s="183">
        <v>359420036</v>
      </c>
      <c r="C324" s="183" t="s">
        <v>1166</v>
      </c>
      <c r="D324" s="183" t="s">
        <v>1167</v>
      </c>
      <c r="F324" s="208"/>
    </row>
    <row r="325" spans="1:7" ht="17.25" customHeight="1">
      <c r="A325" s="184" t="s">
        <v>695</v>
      </c>
      <c r="B325" s="183">
        <v>669871897</v>
      </c>
      <c r="C325" s="183" t="s">
        <v>1168</v>
      </c>
      <c r="D325" s="183" t="s">
        <v>1169</v>
      </c>
    </row>
    <row r="326" spans="1:7" ht="17.25" customHeight="1">
      <c r="A326" s="184" t="s">
        <v>796</v>
      </c>
      <c r="B326" s="183">
        <v>233563300</v>
      </c>
      <c r="C326" s="183" t="s">
        <v>1170</v>
      </c>
      <c r="D326" s="183" t="s">
        <v>1171</v>
      </c>
    </row>
    <row r="327" spans="1:7" ht="17.25" customHeight="1">
      <c r="A327" s="184" t="s">
        <v>695</v>
      </c>
      <c r="B327" s="183">
        <v>67390259</v>
      </c>
      <c r="C327" s="183" t="s">
        <v>1172</v>
      </c>
      <c r="D327" s="183" t="s">
        <v>1173</v>
      </c>
      <c r="E327" s="208"/>
      <c r="F327" s="208"/>
      <c r="G327" s="208"/>
    </row>
    <row r="328" spans="1:7" ht="17.25" customHeight="1">
      <c r="A328" s="184" t="s">
        <v>695</v>
      </c>
      <c r="B328" s="183">
        <v>281373789</v>
      </c>
      <c r="C328" s="183" t="s">
        <v>1174</v>
      </c>
      <c r="D328" s="183" t="s">
        <v>1175</v>
      </c>
    </row>
    <row r="329" spans="1:7" ht="17.25" customHeight="1">
      <c r="A329" s="184" t="s">
        <v>702</v>
      </c>
      <c r="B329" s="183">
        <v>12185243</v>
      </c>
      <c r="C329" s="183" t="s">
        <v>1176</v>
      </c>
      <c r="D329" s="183" t="s">
        <v>1176</v>
      </c>
    </row>
    <row r="330" spans="1:7" ht="17.25" customHeight="1">
      <c r="A330" s="184" t="s">
        <v>714</v>
      </c>
      <c r="B330" s="211">
        <v>472173533</v>
      </c>
      <c r="C330" s="261" t="s">
        <v>1177</v>
      </c>
      <c r="D330" s="208"/>
      <c r="F330" s="277">
        <v>4141564</v>
      </c>
    </row>
    <row r="331" spans="1:7" ht="17.25" customHeight="1">
      <c r="A331" s="184" t="s">
        <v>695</v>
      </c>
      <c r="B331" s="183">
        <v>6100925</v>
      </c>
      <c r="C331" s="183" t="s">
        <v>1178</v>
      </c>
      <c r="D331" s="183" t="s">
        <v>1179</v>
      </c>
    </row>
    <row r="332" spans="1:7" ht="17.25" customHeight="1">
      <c r="A332" s="184" t="s">
        <v>706</v>
      </c>
      <c r="B332" s="183">
        <v>429886010</v>
      </c>
      <c r="C332" s="183" t="s">
        <v>1180</v>
      </c>
      <c r="D332" s="183" t="s">
        <v>1181</v>
      </c>
    </row>
    <row r="333" spans="1:7" ht="17.25" customHeight="1">
      <c r="A333" s="184" t="s">
        <v>796</v>
      </c>
      <c r="B333" s="183">
        <v>1589558174</v>
      </c>
      <c r="C333" s="183" t="s">
        <v>1182</v>
      </c>
      <c r="D333" s="183" t="s">
        <v>1183</v>
      </c>
    </row>
    <row r="334" spans="1:7" ht="17.25" customHeight="1">
      <c r="A334" s="184" t="s">
        <v>695</v>
      </c>
      <c r="B334" s="183">
        <v>296951626</v>
      </c>
      <c r="C334" s="183" t="s">
        <v>1184</v>
      </c>
      <c r="D334" s="183" t="s">
        <v>1185</v>
      </c>
    </row>
    <row r="335" spans="1:7" ht="17.25" customHeight="1">
      <c r="A335" s="184" t="s">
        <v>695</v>
      </c>
      <c r="B335" s="183">
        <v>487961090</v>
      </c>
      <c r="C335" s="183" t="s">
        <v>1186</v>
      </c>
      <c r="D335" s="183" t="s">
        <v>1186</v>
      </c>
      <c r="E335" s="208"/>
      <c r="F335" s="208"/>
      <c r="G335" s="208"/>
    </row>
    <row r="336" spans="1:7" ht="17.25" customHeight="1">
      <c r="A336" s="184" t="s">
        <v>695</v>
      </c>
      <c r="B336" s="183">
        <v>694083476</v>
      </c>
      <c r="C336" s="183" t="s">
        <v>1187</v>
      </c>
      <c r="D336" s="183" t="s">
        <v>1188</v>
      </c>
    </row>
    <row r="337" spans="1:7" ht="17.25" customHeight="1">
      <c r="A337" s="226" t="s">
        <v>1189</v>
      </c>
      <c r="B337" s="221" t="s">
        <v>1190</v>
      </c>
      <c r="C337" s="227" t="s">
        <v>1191</v>
      </c>
      <c r="D337" s="158" t="s">
        <v>1192</v>
      </c>
      <c r="E337" s="237" t="s">
        <v>802</v>
      </c>
      <c r="F337" s="219"/>
      <c r="G337" s="276"/>
    </row>
    <row r="338" spans="1:7" ht="17.25" customHeight="1">
      <c r="A338" s="184" t="s">
        <v>702</v>
      </c>
      <c r="B338" s="183">
        <v>81240780</v>
      </c>
      <c r="C338" s="183" t="s">
        <v>1191</v>
      </c>
      <c r="D338" s="183" t="s">
        <v>1192</v>
      </c>
    </row>
    <row r="339" spans="1:7" ht="17.25" customHeight="1">
      <c r="A339" s="184" t="s">
        <v>706</v>
      </c>
      <c r="B339" s="183">
        <v>52219916</v>
      </c>
      <c r="C339" s="183" t="s">
        <v>1193</v>
      </c>
      <c r="D339" s="183" t="s">
        <v>1193</v>
      </c>
    </row>
    <row r="340" spans="1:7" ht="17.25" customHeight="1">
      <c r="A340" s="184" t="s">
        <v>796</v>
      </c>
      <c r="B340" s="183">
        <v>6415681</v>
      </c>
      <c r="C340" s="183" t="s">
        <v>1194</v>
      </c>
      <c r="D340" s="183" t="s">
        <v>1195</v>
      </c>
    </row>
    <row r="341" spans="1:7" ht="17.25" customHeight="1">
      <c r="A341" s="184" t="s">
        <v>714</v>
      </c>
      <c r="B341" s="178">
        <v>335248702</v>
      </c>
      <c r="C341" s="178" t="s">
        <v>1196</v>
      </c>
      <c r="D341" s="178" t="s">
        <v>1197</v>
      </c>
    </row>
    <row r="342" spans="1:7" ht="17.25" customHeight="1">
      <c r="A342" s="184" t="s">
        <v>714</v>
      </c>
      <c r="B342" s="183">
        <v>335248702</v>
      </c>
      <c r="C342" s="183" t="s">
        <v>1196</v>
      </c>
      <c r="D342" s="183" t="s">
        <v>1197</v>
      </c>
    </row>
    <row r="343" spans="1:7" ht="17.25" customHeight="1">
      <c r="A343" s="184" t="s">
        <v>714</v>
      </c>
      <c r="B343" s="178">
        <v>1501001552</v>
      </c>
      <c r="C343" s="178" t="s">
        <v>1198</v>
      </c>
      <c r="D343" s="178" t="s">
        <v>1198</v>
      </c>
    </row>
    <row r="344" spans="1:7" ht="17.25" customHeight="1">
      <c r="A344" s="184" t="s">
        <v>714</v>
      </c>
      <c r="B344" s="183">
        <v>1501001552</v>
      </c>
      <c r="C344" s="183" t="s">
        <v>1198</v>
      </c>
      <c r="D344" s="183" t="s">
        <v>1198</v>
      </c>
      <c r="E344" s="208"/>
      <c r="F344" s="208"/>
      <c r="G344" s="208"/>
    </row>
    <row r="345" spans="1:7" ht="17.25" customHeight="1">
      <c r="A345" s="253" t="s">
        <v>714</v>
      </c>
      <c r="B345" s="167">
        <v>1907059049</v>
      </c>
      <c r="C345" s="254" t="s">
        <v>1199</v>
      </c>
      <c r="D345" s="158"/>
      <c r="E345" s="179" t="s">
        <v>700</v>
      </c>
      <c r="F345" s="171">
        <v>10577162</v>
      </c>
      <c r="G345" s="273" t="s">
        <v>1200</v>
      </c>
    </row>
    <row r="346" spans="1:7" ht="17.25" customHeight="1">
      <c r="A346" s="184" t="s">
        <v>695</v>
      </c>
      <c r="B346" s="183">
        <v>20322325</v>
      </c>
      <c r="C346" s="183" t="s">
        <v>1201</v>
      </c>
      <c r="D346" s="183" t="s">
        <v>1202</v>
      </c>
    </row>
    <row r="347" spans="1:7" ht="17.25" customHeight="1">
      <c r="A347" s="184" t="s">
        <v>823</v>
      </c>
      <c r="B347" s="211">
        <v>485306286</v>
      </c>
      <c r="C347" s="184" t="s">
        <v>1203</v>
      </c>
      <c r="D347" s="233" t="s">
        <v>1204</v>
      </c>
      <c r="F347" s="277"/>
    </row>
    <row r="348" spans="1:7" ht="17.25" customHeight="1">
      <c r="A348" s="184" t="s">
        <v>706</v>
      </c>
      <c r="B348" s="183">
        <v>436943925</v>
      </c>
      <c r="C348" s="183" t="s">
        <v>1205</v>
      </c>
      <c r="D348" s="183" t="s">
        <v>1206</v>
      </c>
    </row>
    <row r="349" spans="1:7" ht="17.25" customHeight="1">
      <c r="A349" s="184" t="s">
        <v>695</v>
      </c>
      <c r="B349" s="183" t="s">
        <v>1207</v>
      </c>
      <c r="C349" s="183" t="s">
        <v>1208</v>
      </c>
      <c r="D349" s="225" t="s">
        <v>1209</v>
      </c>
      <c r="F349" s="208"/>
    </row>
    <row r="350" spans="1:7" ht="17.25" customHeight="1">
      <c r="A350" s="253" t="s">
        <v>702</v>
      </c>
      <c r="B350" s="167">
        <v>609876090</v>
      </c>
      <c r="C350" s="254" t="s">
        <v>666</v>
      </c>
      <c r="D350" s="241" t="s">
        <v>666</v>
      </c>
      <c r="E350" s="237" t="s">
        <v>802</v>
      </c>
      <c r="F350" s="219"/>
      <c r="G350" s="252"/>
    </row>
    <row r="351" spans="1:7" ht="17.25" customHeight="1">
      <c r="A351" s="184" t="s">
        <v>702</v>
      </c>
      <c r="B351" s="183" t="s">
        <v>1210</v>
      </c>
      <c r="C351" s="183" t="s">
        <v>1211</v>
      </c>
      <c r="D351" s="183" t="s">
        <v>1212</v>
      </c>
    </row>
    <row r="352" spans="1:7" ht="17.25" customHeight="1">
      <c r="A352" s="184" t="s">
        <v>751</v>
      </c>
      <c r="B352" s="183">
        <v>578212744</v>
      </c>
      <c r="C352" s="183" t="s">
        <v>1213</v>
      </c>
      <c r="D352" s="183" t="s">
        <v>1214</v>
      </c>
    </row>
    <row r="353" spans="1:7" ht="17.25" customHeight="1">
      <c r="A353" s="184" t="s">
        <v>706</v>
      </c>
      <c r="B353" s="183">
        <v>92337361</v>
      </c>
      <c r="C353" s="183" t="s">
        <v>1215</v>
      </c>
      <c r="D353" s="183" t="s">
        <v>1216</v>
      </c>
    </row>
    <row r="354" spans="1:7" ht="17.25" customHeight="1">
      <c r="A354" s="184" t="s">
        <v>751</v>
      </c>
      <c r="B354" s="183">
        <v>271176426</v>
      </c>
      <c r="C354" s="183" t="s">
        <v>1217</v>
      </c>
      <c r="D354" s="183" t="s">
        <v>1218</v>
      </c>
    </row>
    <row r="355" spans="1:7" ht="17.25" customHeight="1">
      <c r="A355" s="184" t="s">
        <v>695</v>
      </c>
      <c r="B355" s="183">
        <v>356820657</v>
      </c>
      <c r="C355" s="183" t="s">
        <v>1219</v>
      </c>
      <c r="D355" s="225" t="s">
        <v>1220</v>
      </c>
      <c r="F355" s="208"/>
    </row>
    <row r="356" spans="1:7" ht="17.25" customHeight="1">
      <c r="A356" s="184" t="s">
        <v>796</v>
      </c>
      <c r="B356" s="183">
        <v>1538235037</v>
      </c>
      <c r="C356" s="183" t="s">
        <v>1221</v>
      </c>
      <c r="D356" s="183" t="s">
        <v>1222</v>
      </c>
    </row>
    <row r="357" spans="1:7" ht="17.25" customHeight="1">
      <c r="A357" s="184" t="s">
        <v>714</v>
      </c>
      <c r="B357" s="183" t="s">
        <v>1223</v>
      </c>
      <c r="C357" s="183" t="s">
        <v>1224</v>
      </c>
      <c r="D357" s="183" t="s">
        <v>1225</v>
      </c>
    </row>
    <row r="358" spans="1:7" ht="17.25" customHeight="1">
      <c r="A358" s="212" t="s">
        <v>702</v>
      </c>
      <c r="B358" s="167">
        <v>406573419</v>
      </c>
      <c r="C358" s="221" t="s">
        <v>1226</v>
      </c>
      <c r="D358" s="158"/>
      <c r="E358" s="126" t="s">
        <v>700</v>
      </c>
      <c r="F358" s="279">
        <v>8396127</v>
      </c>
      <c r="G358" s="284" t="s">
        <v>1227</v>
      </c>
    </row>
    <row r="359" spans="1:7" ht="17.25" customHeight="1">
      <c r="A359" s="184" t="s">
        <v>882</v>
      </c>
      <c r="B359" s="178">
        <v>501156021</v>
      </c>
      <c r="C359" s="178" t="s">
        <v>1228</v>
      </c>
      <c r="D359" s="178" t="s">
        <v>1229</v>
      </c>
    </row>
    <row r="360" spans="1:7" ht="17.25" customHeight="1">
      <c r="A360" s="184" t="s">
        <v>882</v>
      </c>
      <c r="B360" s="183">
        <v>501156021</v>
      </c>
      <c r="C360" s="183" t="s">
        <v>1228</v>
      </c>
      <c r="D360" s="183" t="s">
        <v>1229</v>
      </c>
      <c r="F360" s="208"/>
    </row>
    <row r="361" spans="1:7" ht="17.25" customHeight="1">
      <c r="A361" s="184" t="s">
        <v>796</v>
      </c>
      <c r="B361" s="183">
        <v>1963639957</v>
      </c>
      <c r="C361" s="183" t="s">
        <v>1230</v>
      </c>
      <c r="D361" s="183" t="s">
        <v>1231</v>
      </c>
    </row>
    <row r="362" spans="1:7" ht="17.25" customHeight="1">
      <c r="A362" s="184" t="s">
        <v>706</v>
      </c>
      <c r="B362" s="183">
        <v>627710058</v>
      </c>
      <c r="C362" s="183" t="s">
        <v>1232</v>
      </c>
      <c r="D362" s="183" t="s">
        <v>1232</v>
      </c>
      <c r="E362" s="208"/>
      <c r="F362" s="208"/>
      <c r="G362" s="208"/>
    </row>
    <row r="363" spans="1:7" ht="17.25" customHeight="1">
      <c r="A363" s="208"/>
      <c r="B363" s="164">
        <v>492018444</v>
      </c>
      <c r="C363" s="175" t="s">
        <v>1233</v>
      </c>
      <c r="D363" s="208"/>
      <c r="E363" s="297"/>
    </row>
    <row r="364" spans="1:7" ht="17.25" customHeight="1">
      <c r="A364" s="184" t="s">
        <v>702</v>
      </c>
      <c r="B364" s="183">
        <v>275908810</v>
      </c>
      <c r="C364" s="183" t="s">
        <v>1234</v>
      </c>
      <c r="D364" s="183" t="s">
        <v>1235</v>
      </c>
    </row>
    <row r="365" spans="1:7" ht="17.25" customHeight="1">
      <c r="A365" s="184" t="s">
        <v>702</v>
      </c>
      <c r="B365" s="183">
        <v>507243527</v>
      </c>
      <c r="C365" s="183" t="s">
        <v>1236</v>
      </c>
      <c r="D365" s="183" t="s">
        <v>1237</v>
      </c>
    </row>
    <row r="366" spans="1:7" ht="17.25" customHeight="1">
      <c r="A366" s="184" t="s">
        <v>796</v>
      </c>
      <c r="B366" s="183">
        <v>917741</v>
      </c>
      <c r="C366" s="183" t="s">
        <v>1238</v>
      </c>
      <c r="D366" s="183" t="s">
        <v>1239</v>
      </c>
      <c r="E366" s="208"/>
      <c r="F366" s="208"/>
      <c r="G366" s="208"/>
    </row>
    <row r="367" spans="1:7" ht="17.25" customHeight="1">
      <c r="A367" s="184" t="s">
        <v>706</v>
      </c>
      <c r="B367" s="183">
        <v>1726375588</v>
      </c>
      <c r="C367" s="183" t="s">
        <v>1240</v>
      </c>
      <c r="D367" s="183" t="s">
        <v>1241</v>
      </c>
      <c r="F367" s="148"/>
      <c r="G367" s="148"/>
    </row>
    <row r="368" spans="1:7" ht="17.25" customHeight="1">
      <c r="A368" s="184" t="s">
        <v>702</v>
      </c>
      <c r="B368" s="183" t="s">
        <v>1242</v>
      </c>
      <c r="C368" s="183" t="s">
        <v>1243</v>
      </c>
      <c r="D368" s="183" t="s">
        <v>1244</v>
      </c>
    </row>
    <row r="369" spans="1:7" ht="17.25" customHeight="1">
      <c r="A369" s="212" t="s">
        <v>702</v>
      </c>
      <c r="B369" s="167">
        <v>430941181</v>
      </c>
      <c r="C369" s="221" t="s">
        <v>1245</v>
      </c>
      <c r="D369" s="158"/>
      <c r="E369" s="126" t="s">
        <v>700</v>
      </c>
      <c r="F369" s="279">
        <v>7529532</v>
      </c>
      <c r="G369" s="284" t="s">
        <v>1245</v>
      </c>
    </row>
    <row r="370" spans="1:7" ht="17.25" customHeight="1">
      <c r="A370" s="253" t="s">
        <v>714</v>
      </c>
      <c r="B370" s="167">
        <v>302162398</v>
      </c>
      <c r="C370" s="254" t="s">
        <v>1246</v>
      </c>
      <c r="D370" s="158"/>
      <c r="E370" s="237" t="s">
        <v>802</v>
      </c>
      <c r="F370" s="219"/>
      <c r="G370" s="276"/>
    </row>
    <row r="371" spans="1:7" ht="17.25" customHeight="1">
      <c r="A371" s="184" t="s">
        <v>702</v>
      </c>
      <c r="B371" s="183">
        <v>100027650</v>
      </c>
      <c r="C371" s="183" t="s">
        <v>1247</v>
      </c>
      <c r="D371" s="183" t="s">
        <v>1248</v>
      </c>
    </row>
    <row r="372" spans="1:7" ht="17.25" customHeight="1">
      <c r="A372" s="184" t="s">
        <v>796</v>
      </c>
      <c r="B372" s="183">
        <v>52611373</v>
      </c>
      <c r="C372" s="183" t="s">
        <v>1249</v>
      </c>
      <c r="D372" s="183" t="s">
        <v>1250</v>
      </c>
    </row>
    <row r="373" spans="1:7" ht="17.25" customHeight="1">
      <c r="A373" s="184" t="s">
        <v>706</v>
      </c>
      <c r="B373" s="183">
        <v>483941007</v>
      </c>
      <c r="C373" s="183" t="s">
        <v>1251</v>
      </c>
      <c r="D373" s="183" t="s">
        <v>1252</v>
      </c>
      <c r="E373" s="208"/>
      <c r="F373" s="208"/>
      <c r="G373" s="208"/>
    </row>
    <row r="374" spans="1:7" ht="17.25" customHeight="1">
      <c r="A374" s="184" t="s">
        <v>695</v>
      </c>
      <c r="B374" s="211">
        <v>700587909</v>
      </c>
      <c r="C374" s="261" t="s">
        <v>1253</v>
      </c>
      <c r="F374" s="192"/>
    </row>
    <row r="375" spans="1:7" ht="17.25" customHeight="1">
      <c r="A375" s="184" t="s">
        <v>759</v>
      </c>
      <c r="B375" s="183">
        <v>41700292</v>
      </c>
      <c r="C375" s="183" t="s">
        <v>1254</v>
      </c>
      <c r="D375" s="183" t="s">
        <v>1255</v>
      </c>
    </row>
    <row r="376" spans="1:7" ht="17.25" customHeight="1">
      <c r="A376" s="184" t="s">
        <v>695</v>
      </c>
      <c r="B376" s="183" t="s">
        <v>1256</v>
      </c>
      <c r="C376" s="183" t="s">
        <v>1257</v>
      </c>
      <c r="D376" s="183" t="s">
        <v>1258</v>
      </c>
      <c r="E376" s="208"/>
      <c r="F376" s="208"/>
      <c r="G376" s="208"/>
    </row>
    <row r="377" spans="1:7" ht="17.25" customHeight="1">
      <c r="A377" s="184" t="s">
        <v>796</v>
      </c>
      <c r="B377" s="183">
        <v>341399079</v>
      </c>
      <c r="C377" s="183" t="s">
        <v>1259</v>
      </c>
      <c r="D377" s="225" t="s">
        <v>1260</v>
      </c>
      <c r="F377" s="208"/>
    </row>
    <row r="378" spans="1:7" ht="17.25" customHeight="1">
      <c r="A378" s="184" t="s">
        <v>702</v>
      </c>
      <c r="B378" s="178">
        <v>477430330</v>
      </c>
      <c r="C378" s="178" t="s">
        <v>1261</v>
      </c>
      <c r="D378" s="178" t="s">
        <v>1262</v>
      </c>
      <c r="F378" s="208"/>
    </row>
    <row r="379" spans="1:7" ht="17.25" customHeight="1">
      <c r="A379" s="184" t="s">
        <v>702</v>
      </c>
      <c r="B379" s="183">
        <v>477430330</v>
      </c>
      <c r="C379" s="183" t="s">
        <v>1261</v>
      </c>
      <c r="D379" s="183" t="s">
        <v>1262</v>
      </c>
    </row>
    <row r="380" spans="1:7" ht="17.25" customHeight="1">
      <c r="A380" s="184" t="s">
        <v>796</v>
      </c>
      <c r="B380" s="183">
        <v>357886878</v>
      </c>
      <c r="C380" s="183" t="s">
        <v>1263</v>
      </c>
      <c r="D380" s="183" t="s">
        <v>1264</v>
      </c>
    </row>
    <row r="381" spans="1:7" ht="17.25" customHeight="1">
      <c r="A381" s="184" t="s">
        <v>702</v>
      </c>
      <c r="B381" s="211">
        <v>75608050</v>
      </c>
      <c r="C381" s="184" t="s">
        <v>1265</v>
      </c>
      <c r="D381" s="208"/>
      <c r="F381" s="277"/>
    </row>
    <row r="382" spans="1:7" ht="17.25" customHeight="1">
      <c r="A382" s="184" t="s">
        <v>706</v>
      </c>
      <c r="B382" s="183">
        <v>1458916951</v>
      </c>
      <c r="C382" s="183" t="s">
        <v>1266</v>
      </c>
      <c r="D382" s="183" t="s">
        <v>1267</v>
      </c>
      <c r="E382" s="62"/>
      <c r="F382" s="62"/>
      <c r="G382" s="62"/>
    </row>
    <row r="383" spans="1:7" ht="17.25" customHeight="1">
      <c r="A383" s="230" t="s">
        <v>751</v>
      </c>
      <c r="B383" s="178">
        <v>1136134953</v>
      </c>
      <c r="C383" s="298" t="s">
        <v>1268</v>
      </c>
      <c r="D383" s="178"/>
      <c r="E383" s="299" t="s">
        <v>700</v>
      </c>
      <c r="F383" s="300">
        <v>10651621</v>
      </c>
      <c r="G383" s="300" t="s">
        <v>1268</v>
      </c>
    </row>
    <row r="384" spans="1:7" ht="17.25" customHeight="1">
      <c r="A384" s="184" t="s">
        <v>796</v>
      </c>
      <c r="B384" s="183">
        <v>378511255</v>
      </c>
      <c r="C384" s="183" t="s">
        <v>1269</v>
      </c>
      <c r="D384" s="183" t="s">
        <v>1270</v>
      </c>
    </row>
    <row r="385" spans="1:7" ht="17.25" customHeight="1">
      <c r="A385" s="184" t="s">
        <v>796</v>
      </c>
      <c r="B385" s="183">
        <v>156103641</v>
      </c>
      <c r="C385" s="183" t="s">
        <v>1271</v>
      </c>
      <c r="D385" s="183" t="s">
        <v>1272</v>
      </c>
    </row>
    <row r="386" spans="1:7" ht="17.25" customHeight="1">
      <c r="A386" s="184" t="s">
        <v>702</v>
      </c>
      <c r="B386" s="191">
        <v>429325325</v>
      </c>
      <c r="C386" s="191" t="s">
        <v>1273</v>
      </c>
      <c r="D386" s="178"/>
      <c r="E386" s="208"/>
      <c r="F386" s="192">
        <v>10651741</v>
      </c>
      <c r="G386" s="208"/>
    </row>
    <row r="387" spans="1:7" ht="17.25" customHeight="1">
      <c r="A387" s="184" t="s">
        <v>702</v>
      </c>
      <c r="B387" s="178">
        <v>473188647</v>
      </c>
      <c r="C387" s="178" t="s">
        <v>1274</v>
      </c>
      <c r="D387" s="178" t="s">
        <v>1275</v>
      </c>
      <c r="E387" s="208"/>
      <c r="F387" s="208"/>
      <c r="G387" s="208"/>
    </row>
    <row r="388" spans="1:7" ht="17.25" customHeight="1">
      <c r="A388" s="184" t="s">
        <v>702</v>
      </c>
      <c r="B388" s="183">
        <v>473188647</v>
      </c>
      <c r="C388" s="183" t="s">
        <v>1274</v>
      </c>
      <c r="D388" s="183" t="s">
        <v>1275</v>
      </c>
    </row>
    <row r="389" spans="1:7" ht="17.25" customHeight="1">
      <c r="A389" s="253" t="s">
        <v>702</v>
      </c>
      <c r="B389" s="259">
        <v>486496388</v>
      </c>
      <c r="C389" s="301" t="s">
        <v>1276</v>
      </c>
      <c r="D389" s="158"/>
      <c r="E389" s="237" t="s">
        <v>802</v>
      </c>
      <c r="F389" s="219"/>
      <c r="G389" s="276"/>
    </row>
    <row r="390" spans="1:7" ht="17.25" customHeight="1">
      <c r="A390" s="302" t="s">
        <v>702</v>
      </c>
      <c r="B390" s="183">
        <v>616757101</v>
      </c>
      <c r="C390" s="183" t="s">
        <v>1277</v>
      </c>
      <c r="D390" s="183" t="s">
        <v>1278</v>
      </c>
    </row>
    <row r="391" spans="1:7" ht="17.25" customHeight="1">
      <c r="A391" s="302" t="s">
        <v>823</v>
      </c>
      <c r="B391" s="183">
        <v>413109459</v>
      </c>
      <c r="C391" s="245" t="s">
        <v>1279</v>
      </c>
      <c r="D391" s="183" t="s">
        <v>1279</v>
      </c>
    </row>
    <row r="392" spans="1:7" ht="17.25" customHeight="1">
      <c r="A392" s="302" t="s">
        <v>1280</v>
      </c>
      <c r="B392" s="183" t="s">
        <v>1281</v>
      </c>
      <c r="C392" s="245" t="s">
        <v>1282</v>
      </c>
      <c r="D392" s="183" t="s">
        <v>1283</v>
      </c>
    </row>
    <row r="393" spans="1:7" ht="17.25" customHeight="1">
      <c r="A393" s="253" t="s">
        <v>714</v>
      </c>
      <c r="B393" s="167">
        <v>1044393410</v>
      </c>
      <c r="C393" s="272" t="s">
        <v>667</v>
      </c>
      <c r="D393" s="158" t="s">
        <v>1158</v>
      </c>
      <c r="E393" s="237" t="s">
        <v>802</v>
      </c>
      <c r="F393" s="219"/>
      <c r="G393" s="284"/>
    </row>
    <row r="394" spans="1:7" ht="17.25" customHeight="1">
      <c r="A394" s="230" t="s">
        <v>714</v>
      </c>
      <c r="B394" s="178">
        <v>3546578067392750</v>
      </c>
      <c r="C394" s="303" t="s">
        <v>1284</v>
      </c>
      <c r="D394" s="292"/>
      <c r="E394" s="299" t="s">
        <v>700</v>
      </c>
      <c r="F394" s="241">
        <v>3879133</v>
      </c>
      <c r="G394" s="289" t="s">
        <v>1285</v>
      </c>
    </row>
    <row r="395" spans="1:7" ht="17.25" customHeight="1">
      <c r="A395" s="302" t="s">
        <v>706</v>
      </c>
      <c r="B395" s="183">
        <v>63414376</v>
      </c>
      <c r="C395" s="245" t="s">
        <v>1286</v>
      </c>
      <c r="D395" s="183" t="s">
        <v>1287</v>
      </c>
    </row>
    <row r="396" spans="1:7" s="62" customFormat="1" ht="17.25" customHeight="1">
      <c r="A396" s="302" t="s">
        <v>796</v>
      </c>
      <c r="B396" s="183">
        <v>286649228</v>
      </c>
      <c r="C396" s="183" t="s">
        <v>1288</v>
      </c>
      <c r="D396" s="183" t="s">
        <v>1289</v>
      </c>
      <c r="E396" s="148"/>
      <c r="F396" s="148"/>
      <c r="G396" s="148"/>
    </row>
    <row r="397" spans="1:7" ht="17.25" customHeight="1">
      <c r="A397" s="184" t="s">
        <v>695</v>
      </c>
      <c r="B397" s="178">
        <v>480620922</v>
      </c>
      <c r="C397" s="178" t="s">
        <v>1290</v>
      </c>
      <c r="D397" s="178" t="s">
        <v>1291</v>
      </c>
      <c r="E397" s="208"/>
      <c r="F397" s="208"/>
      <c r="G397" s="208"/>
    </row>
    <row r="398" spans="1:7" ht="17.25" customHeight="1">
      <c r="A398" s="302" t="s">
        <v>695</v>
      </c>
      <c r="B398" s="183">
        <v>480620922</v>
      </c>
      <c r="C398" s="183" t="s">
        <v>1290</v>
      </c>
      <c r="D398" s="183" t="s">
        <v>1292</v>
      </c>
    </row>
    <row r="399" spans="1:7" ht="17.25" customHeight="1">
      <c r="A399" s="302" t="s">
        <v>702</v>
      </c>
      <c r="B399" s="183">
        <v>415250427</v>
      </c>
      <c r="C399" s="183" t="s">
        <v>1293</v>
      </c>
      <c r="D399" s="183" t="s">
        <v>1294</v>
      </c>
    </row>
    <row r="400" spans="1:7" ht="17.25" customHeight="1">
      <c r="A400" s="302" t="s">
        <v>702</v>
      </c>
      <c r="B400" s="183">
        <v>14802357</v>
      </c>
      <c r="C400" s="183" t="s">
        <v>1295</v>
      </c>
      <c r="D400" s="183" t="s">
        <v>1296</v>
      </c>
    </row>
    <row r="401" spans="1:7" ht="17.25" customHeight="1">
      <c r="A401" s="212" t="s">
        <v>723</v>
      </c>
      <c r="B401" s="167">
        <v>97439580</v>
      </c>
      <c r="C401" s="221" t="s">
        <v>668</v>
      </c>
      <c r="D401" s="158" t="s">
        <v>1297</v>
      </c>
      <c r="E401" s="126" t="s">
        <v>700</v>
      </c>
      <c r="F401" s="279">
        <v>10012332</v>
      </c>
      <c r="G401" s="279" t="s">
        <v>1298</v>
      </c>
    </row>
    <row r="402" spans="1:7" ht="17.25" customHeight="1">
      <c r="A402" s="184" t="s">
        <v>702</v>
      </c>
      <c r="B402" s="211">
        <v>6451398</v>
      </c>
      <c r="C402" s="184" t="s">
        <v>1299</v>
      </c>
      <c r="F402" s="192"/>
    </row>
    <row r="403" spans="1:7" ht="17.25" customHeight="1">
      <c r="A403" s="302" t="s">
        <v>702</v>
      </c>
      <c r="B403" s="183">
        <v>1212909771</v>
      </c>
      <c r="C403" s="183" t="s">
        <v>1300</v>
      </c>
      <c r="D403" s="183" t="s">
        <v>1301</v>
      </c>
      <c r="E403" s="208"/>
      <c r="F403" s="208"/>
      <c r="G403" s="208"/>
    </row>
    <row r="404" spans="1:7" ht="17.25" customHeight="1">
      <c r="A404" s="253" t="s">
        <v>702</v>
      </c>
      <c r="B404" s="167">
        <v>238214652</v>
      </c>
      <c r="C404" s="254" t="s">
        <v>669</v>
      </c>
      <c r="D404" s="241" t="s">
        <v>669</v>
      </c>
      <c r="E404" s="179" t="s">
        <v>710</v>
      </c>
      <c r="F404" s="165"/>
      <c r="G404" s="170"/>
    </row>
    <row r="405" spans="1:7" ht="17.25" customHeight="1">
      <c r="A405" s="184" t="s">
        <v>702</v>
      </c>
      <c r="B405" s="211">
        <v>1297170203</v>
      </c>
      <c r="C405" s="261" t="s">
        <v>1302</v>
      </c>
      <c r="D405" s="208"/>
      <c r="E405" s="208"/>
      <c r="F405" s="192"/>
      <c r="G405" s="208"/>
    </row>
    <row r="406" spans="1:7" ht="17.25" customHeight="1">
      <c r="A406" s="184" t="s">
        <v>714</v>
      </c>
      <c r="B406" s="211">
        <v>315645149</v>
      </c>
      <c r="C406" s="184" t="s">
        <v>1303</v>
      </c>
      <c r="D406" s="233" t="s">
        <v>1304</v>
      </c>
      <c r="E406" s="208"/>
      <c r="F406" s="192">
        <v>10651898</v>
      </c>
      <c r="G406" s="208"/>
    </row>
    <row r="407" spans="1:7" ht="17.25" customHeight="1">
      <c r="A407" s="302" t="s">
        <v>796</v>
      </c>
      <c r="B407" s="183">
        <v>686368307</v>
      </c>
      <c r="C407" s="183" t="s">
        <v>1305</v>
      </c>
      <c r="D407" s="183" t="s">
        <v>1306</v>
      </c>
      <c r="E407" s="208"/>
      <c r="F407" s="208"/>
      <c r="G407" s="208"/>
    </row>
    <row r="408" spans="1:7" ht="17.25" customHeight="1">
      <c r="A408" s="302" t="s">
        <v>759</v>
      </c>
      <c r="B408" s="183">
        <v>309120154</v>
      </c>
      <c r="C408" s="183" t="s">
        <v>1307</v>
      </c>
      <c r="D408" s="183" t="s">
        <v>1308</v>
      </c>
      <c r="E408" s="208"/>
      <c r="F408" s="208"/>
      <c r="G408" s="208"/>
    </row>
    <row r="409" spans="1:7" ht="17.25" customHeight="1">
      <c r="A409" s="302" t="s">
        <v>702</v>
      </c>
      <c r="B409" s="183">
        <v>323226715</v>
      </c>
      <c r="C409" s="183" t="s">
        <v>1309</v>
      </c>
      <c r="D409" s="183" t="s">
        <v>1310</v>
      </c>
      <c r="E409" s="208"/>
      <c r="F409" s="208"/>
      <c r="G409" s="208"/>
    </row>
    <row r="410" spans="1:7" ht="17.25" customHeight="1">
      <c r="A410" s="302" t="s">
        <v>723</v>
      </c>
      <c r="B410" s="183">
        <v>400926246</v>
      </c>
      <c r="C410" s="183" t="s">
        <v>1311</v>
      </c>
      <c r="D410" s="183" t="s">
        <v>1312</v>
      </c>
      <c r="E410" s="208"/>
      <c r="F410" s="208"/>
      <c r="G410" s="208"/>
    </row>
    <row r="411" spans="1:7" ht="17.25" customHeight="1">
      <c r="A411" s="304" t="s">
        <v>796</v>
      </c>
      <c r="B411" s="296">
        <v>153435403</v>
      </c>
      <c r="C411" s="296" t="s">
        <v>1313</v>
      </c>
      <c r="D411" s="296" t="s">
        <v>1314</v>
      </c>
      <c r="E411" s="208"/>
      <c r="F411" s="208"/>
      <c r="G411" s="208"/>
    </row>
    <row r="412" spans="1:7" ht="17.25" customHeight="1">
      <c r="A412" s="305" t="s">
        <v>796</v>
      </c>
      <c r="B412" s="295">
        <v>107466715</v>
      </c>
      <c r="C412" s="295" t="s">
        <v>1315</v>
      </c>
      <c r="D412" s="295" t="s">
        <v>1315</v>
      </c>
      <c r="E412" s="208"/>
      <c r="F412" s="208"/>
      <c r="G412" s="208"/>
    </row>
    <row r="413" spans="1:7" ht="17.25" customHeight="1">
      <c r="A413" s="302" t="s">
        <v>796</v>
      </c>
      <c r="B413" s="183">
        <v>345560280</v>
      </c>
      <c r="C413" s="183" t="s">
        <v>1316</v>
      </c>
      <c r="D413" s="183" t="s">
        <v>1317</v>
      </c>
      <c r="E413" s="208"/>
      <c r="F413" s="208"/>
      <c r="G413" s="208"/>
    </row>
    <row r="414" spans="1:7" ht="17.25" customHeight="1">
      <c r="A414" s="253" t="s">
        <v>796</v>
      </c>
      <c r="B414" s="259">
        <v>702266576</v>
      </c>
      <c r="C414" s="260" t="s">
        <v>1318</v>
      </c>
      <c r="D414" s="158" t="s">
        <v>1319</v>
      </c>
      <c r="E414" s="179" t="s">
        <v>700</v>
      </c>
      <c r="F414" s="165">
        <v>4748459</v>
      </c>
      <c r="G414" s="306" t="s">
        <v>1320</v>
      </c>
    </row>
    <row r="415" spans="1:7" ht="17.25" customHeight="1">
      <c r="A415" s="212" t="s">
        <v>702</v>
      </c>
      <c r="B415" s="167">
        <v>404606632</v>
      </c>
      <c r="C415" s="221" t="s">
        <v>670</v>
      </c>
      <c r="D415" s="232" t="s">
        <v>670</v>
      </c>
      <c r="E415" s="161" t="s">
        <v>700</v>
      </c>
      <c r="F415" s="171">
        <v>7646523</v>
      </c>
      <c r="G415" s="171" t="s">
        <v>1321</v>
      </c>
    </row>
    <row r="416" spans="1:7" ht="17.25" customHeight="1">
      <c r="A416" s="302" t="s">
        <v>706</v>
      </c>
      <c r="B416" s="183">
        <v>1931988775</v>
      </c>
      <c r="C416" s="183" t="s">
        <v>1322</v>
      </c>
      <c r="D416" s="183" t="s">
        <v>1323</v>
      </c>
      <c r="E416" s="208"/>
      <c r="F416" s="208"/>
      <c r="G416" s="208"/>
    </row>
    <row r="417" spans="1:7" ht="17.25" customHeight="1">
      <c r="A417" s="302" t="s">
        <v>796</v>
      </c>
      <c r="B417" s="183">
        <v>509147248</v>
      </c>
      <c r="C417" s="183" t="s">
        <v>1324</v>
      </c>
      <c r="D417" s="183" t="s">
        <v>1325</v>
      </c>
      <c r="E417" s="208"/>
      <c r="F417" s="208"/>
      <c r="G417" s="208"/>
    </row>
    <row r="418" spans="1:7" ht="17.25" customHeight="1">
      <c r="A418" s="302" t="s">
        <v>751</v>
      </c>
      <c r="B418" s="183">
        <v>387986845</v>
      </c>
      <c r="C418" s="183" t="s">
        <v>1326</v>
      </c>
      <c r="D418" s="183" t="s">
        <v>1326</v>
      </c>
      <c r="E418" s="208"/>
      <c r="F418" s="208"/>
      <c r="G418" s="208"/>
    </row>
    <row r="419" spans="1:7" ht="17.25" customHeight="1">
      <c r="A419" s="302" t="s">
        <v>796</v>
      </c>
      <c r="B419" s="183">
        <v>8843501</v>
      </c>
      <c r="C419" s="183" t="s">
        <v>1327</v>
      </c>
      <c r="D419" s="183" t="s">
        <v>1328</v>
      </c>
      <c r="E419" s="208"/>
      <c r="F419" s="208"/>
      <c r="G419" s="208"/>
    </row>
    <row r="420" spans="1:7" ht="17.25" customHeight="1">
      <c r="A420" s="302" t="s">
        <v>702</v>
      </c>
      <c r="B420" s="183">
        <v>155410486</v>
      </c>
      <c r="C420" s="183" t="s">
        <v>1329</v>
      </c>
      <c r="D420" s="183" t="s">
        <v>1330</v>
      </c>
      <c r="E420" s="208"/>
      <c r="F420" s="208"/>
      <c r="G420" s="208"/>
    </row>
    <row r="421" spans="1:7" ht="17.25" customHeight="1">
      <c r="A421" s="302" t="s">
        <v>702</v>
      </c>
      <c r="B421" s="183">
        <v>1311817318</v>
      </c>
      <c r="C421" s="183" t="s">
        <v>1331</v>
      </c>
      <c r="D421" s="183" t="s">
        <v>718</v>
      </c>
      <c r="E421" s="208"/>
      <c r="F421" s="208"/>
      <c r="G421" s="208"/>
    </row>
    <row r="422" spans="1:7" ht="17.25" customHeight="1">
      <c r="A422" s="184" t="s">
        <v>702</v>
      </c>
      <c r="B422" s="211" t="s">
        <v>1332</v>
      </c>
      <c r="C422" s="184" t="s">
        <v>1333</v>
      </c>
      <c r="D422" s="208"/>
      <c r="E422" s="208"/>
      <c r="F422" s="307">
        <v>10654746</v>
      </c>
      <c r="G422" s="208"/>
    </row>
    <row r="423" spans="1:7" ht="17.25" customHeight="1">
      <c r="A423" s="302" t="s">
        <v>714</v>
      </c>
      <c r="B423" s="183">
        <v>43726449</v>
      </c>
      <c r="C423" s="183" t="s">
        <v>1334</v>
      </c>
      <c r="D423" s="183" t="s">
        <v>1335</v>
      </c>
      <c r="E423" s="208"/>
      <c r="F423" s="208"/>
      <c r="G423" s="208"/>
    </row>
    <row r="424" spans="1:7" ht="17.25" customHeight="1">
      <c r="A424" s="302" t="s">
        <v>706</v>
      </c>
      <c r="B424" s="183">
        <v>38548491</v>
      </c>
      <c r="C424" s="183" t="s">
        <v>1336</v>
      </c>
      <c r="D424" s="183" t="s">
        <v>1337</v>
      </c>
      <c r="E424" s="208"/>
      <c r="F424" s="208"/>
      <c r="G424" s="208"/>
    </row>
    <row r="425" spans="1:7" ht="17.25" customHeight="1">
      <c r="A425" s="212" t="s">
        <v>763</v>
      </c>
      <c r="B425" s="308" t="s">
        <v>1338</v>
      </c>
      <c r="C425" s="232" t="s">
        <v>1339</v>
      </c>
      <c r="D425" s="158"/>
      <c r="E425" s="161"/>
      <c r="F425" s="165"/>
      <c r="G425" s="170"/>
    </row>
    <row r="426" spans="1:7" ht="17.25" customHeight="1">
      <c r="A426" s="302" t="s">
        <v>695</v>
      </c>
      <c r="B426" s="183">
        <v>445013520</v>
      </c>
      <c r="C426" s="183" t="s">
        <v>1340</v>
      </c>
      <c r="D426" s="183" t="s">
        <v>1341</v>
      </c>
      <c r="E426" s="208"/>
      <c r="F426" s="208"/>
      <c r="G426" s="208"/>
    </row>
    <row r="427" spans="1:7" ht="17.25" customHeight="1">
      <c r="A427" s="302" t="s">
        <v>796</v>
      </c>
      <c r="B427" s="183">
        <v>178212896</v>
      </c>
      <c r="C427" s="183" t="s">
        <v>1342</v>
      </c>
      <c r="D427" s="183" t="s">
        <v>1343</v>
      </c>
      <c r="E427" s="208"/>
      <c r="F427" s="208"/>
      <c r="G427" s="208"/>
    </row>
    <row r="428" spans="1:7" ht="17.25" customHeight="1">
      <c r="A428" s="302" t="s">
        <v>695</v>
      </c>
      <c r="B428" s="183">
        <v>500696186</v>
      </c>
      <c r="C428" s="183" t="s">
        <v>1344</v>
      </c>
      <c r="D428" s="183" t="s">
        <v>1345</v>
      </c>
      <c r="E428" s="208"/>
      <c r="F428" s="208"/>
      <c r="G428" s="208"/>
    </row>
    <row r="429" spans="1:7" ht="17.25" customHeight="1">
      <c r="A429" s="184" t="s">
        <v>702</v>
      </c>
      <c r="B429" s="178">
        <v>1830710965</v>
      </c>
      <c r="C429" s="178" t="s">
        <v>1346</v>
      </c>
      <c r="D429" s="178" t="s">
        <v>1346</v>
      </c>
      <c r="E429" s="208"/>
      <c r="F429" s="208"/>
      <c r="G429" s="208"/>
    </row>
    <row r="430" spans="1:7">
      <c r="A430" s="309" t="s">
        <v>702</v>
      </c>
      <c r="B430" s="225">
        <v>1830710965</v>
      </c>
      <c r="C430" s="225" t="s">
        <v>1346</v>
      </c>
      <c r="D430" s="225" t="s">
        <v>1346</v>
      </c>
    </row>
    <row r="431" spans="1:7">
      <c r="A431" s="310" t="s">
        <v>714</v>
      </c>
      <c r="B431" s="311">
        <v>3546740000000000</v>
      </c>
      <c r="C431" s="310" t="s">
        <v>1347</v>
      </c>
      <c r="F431" s="277">
        <v>10601456</v>
      </c>
    </row>
    <row r="432" spans="1:7">
      <c r="A432" s="279" t="s">
        <v>702</v>
      </c>
      <c r="B432" s="312">
        <v>452613729</v>
      </c>
      <c r="C432" s="313" t="s">
        <v>1348</v>
      </c>
      <c r="D432" s="118" t="s">
        <v>1349</v>
      </c>
      <c r="E432" s="126" t="s">
        <v>700</v>
      </c>
      <c r="F432" s="279">
        <v>10629507</v>
      </c>
      <c r="G432" s="288" t="s">
        <v>1350</v>
      </c>
    </row>
    <row r="433" spans="1:7">
      <c r="A433" s="314" t="s">
        <v>702</v>
      </c>
      <c r="B433" s="315">
        <v>205452732</v>
      </c>
      <c r="C433" s="316" t="s">
        <v>671</v>
      </c>
      <c r="D433" s="317" t="s">
        <v>671</v>
      </c>
      <c r="E433" s="318" t="s">
        <v>700</v>
      </c>
      <c r="F433" s="319">
        <v>7074128</v>
      </c>
      <c r="G433" s="319" t="s">
        <v>671</v>
      </c>
    </row>
    <row r="434" spans="1:7">
      <c r="A434" s="320" t="s">
        <v>1351</v>
      </c>
      <c r="B434" s="321">
        <v>1010513990</v>
      </c>
      <c r="C434" s="206" t="s">
        <v>1352</v>
      </c>
      <c r="D434" s="118" t="s">
        <v>1352</v>
      </c>
      <c r="E434" s="126" t="s">
        <v>700</v>
      </c>
      <c r="F434" s="204">
        <v>10629802</v>
      </c>
      <c r="G434" s="118" t="s">
        <v>1353</v>
      </c>
    </row>
    <row r="435" spans="1:7">
      <c r="A435" s="279" t="s">
        <v>702</v>
      </c>
      <c r="B435" s="322">
        <v>1975503183</v>
      </c>
      <c r="C435" s="313" t="s">
        <v>1354</v>
      </c>
      <c r="D435" s="118"/>
      <c r="E435" s="126" t="s">
        <v>710</v>
      </c>
      <c r="F435" s="219"/>
      <c r="G435" s="284"/>
    </row>
    <row r="436" spans="1:7">
      <c r="A436" s="323" t="s">
        <v>702</v>
      </c>
      <c r="B436" s="324">
        <v>490832887</v>
      </c>
      <c r="C436" s="325" t="s">
        <v>1355</v>
      </c>
      <c r="D436" s="118"/>
      <c r="E436" s="126" t="s">
        <v>700</v>
      </c>
      <c r="F436" s="279">
        <v>7663710</v>
      </c>
      <c r="G436" s="284" t="s">
        <v>1356</v>
      </c>
    </row>
    <row r="437" spans="1:7">
      <c r="A437" s="323" t="s">
        <v>714</v>
      </c>
      <c r="B437" s="324">
        <v>480430968</v>
      </c>
      <c r="C437" s="326" t="s">
        <v>672</v>
      </c>
      <c r="D437" s="118" t="s">
        <v>1357</v>
      </c>
      <c r="E437" s="126" t="s">
        <v>700</v>
      </c>
      <c r="F437" s="279">
        <v>2745355</v>
      </c>
      <c r="G437" s="279" t="s">
        <v>1358</v>
      </c>
    </row>
    <row r="438" spans="1:7">
      <c r="A438" s="323" t="s">
        <v>695</v>
      </c>
      <c r="B438" s="324">
        <v>347368993</v>
      </c>
      <c r="C438" s="325" t="s">
        <v>673</v>
      </c>
      <c r="D438" s="327" t="s">
        <v>1359</v>
      </c>
      <c r="E438" s="126" t="s">
        <v>700</v>
      </c>
      <c r="F438" s="279">
        <v>9650454</v>
      </c>
      <c r="G438" s="279" t="s">
        <v>1360</v>
      </c>
    </row>
    <row r="439" spans="1:7">
      <c r="A439" s="328" t="s">
        <v>702</v>
      </c>
      <c r="B439" s="292">
        <v>421850067</v>
      </c>
      <c r="C439" s="329" t="s">
        <v>674</v>
      </c>
      <c r="D439" s="118" t="s">
        <v>1361</v>
      </c>
      <c r="E439" s="237" t="s">
        <v>700</v>
      </c>
      <c r="F439" s="204">
        <v>3652706</v>
      </c>
      <c r="G439" s="284" t="s">
        <v>1362</v>
      </c>
    </row>
    <row r="440" spans="1:7">
      <c r="A440" s="323" t="s">
        <v>714</v>
      </c>
      <c r="B440" s="324">
        <v>1982397117</v>
      </c>
      <c r="C440" s="325" t="s">
        <v>675</v>
      </c>
      <c r="D440" s="118" t="s">
        <v>1363</v>
      </c>
      <c r="E440" s="126" t="s">
        <v>700</v>
      </c>
      <c r="F440" s="279">
        <v>8422423</v>
      </c>
      <c r="G440" s="279" t="s">
        <v>1364</v>
      </c>
    </row>
    <row r="441" spans="1:7">
      <c r="A441" s="323" t="s">
        <v>706</v>
      </c>
      <c r="B441" s="324">
        <v>489667127</v>
      </c>
      <c r="C441" s="325" t="s">
        <v>1365</v>
      </c>
      <c r="D441" s="118"/>
      <c r="E441" s="126" t="s">
        <v>700</v>
      </c>
      <c r="F441" s="279">
        <v>10296699</v>
      </c>
      <c r="G441" s="252" t="s">
        <v>1366</v>
      </c>
    </row>
    <row r="442" spans="1:7">
      <c r="A442" s="323" t="s">
        <v>714</v>
      </c>
      <c r="B442" s="324">
        <v>519336527</v>
      </c>
      <c r="C442" s="325" t="s">
        <v>676</v>
      </c>
      <c r="D442" s="330" t="s">
        <v>676</v>
      </c>
      <c r="E442" s="126" t="s">
        <v>700</v>
      </c>
      <c r="F442" s="279">
        <v>3598980</v>
      </c>
      <c r="G442" s="279" t="s">
        <v>676</v>
      </c>
    </row>
    <row r="443" spans="1:7">
      <c r="A443" s="323" t="s">
        <v>714</v>
      </c>
      <c r="B443" s="324">
        <v>26320736</v>
      </c>
      <c r="C443" s="325" t="s">
        <v>677</v>
      </c>
      <c r="D443" s="330" t="s">
        <v>677</v>
      </c>
      <c r="E443" s="126" t="s">
        <v>700</v>
      </c>
      <c r="F443" s="279">
        <v>5388666</v>
      </c>
      <c r="G443" s="284" t="s">
        <v>677</v>
      </c>
    </row>
    <row r="444" spans="1:7">
      <c r="A444" s="323" t="s">
        <v>702</v>
      </c>
      <c r="B444" s="324">
        <v>245513697</v>
      </c>
      <c r="C444" s="325" t="s">
        <v>1367</v>
      </c>
      <c r="D444" s="118" t="s">
        <v>1368</v>
      </c>
      <c r="E444" s="126" t="s">
        <v>700</v>
      </c>
      <c r="F444" s="279">
        <v>7389217</v>
      </c>
      <c r="G444" s="284" t="s">
        <v>1369</v>
      </c>
    </row>
    <row r="445" spans="1:7">
      <c r="A445" s="323" t="s">
        <v>702</v>
      </c>
      <c r="B445" s="324">
        <v>66446966</v>
      </c>
      <c r="C445" s="325" t="s">
        <v>1370</v>
      </c>
      <c r="D445" s="118"/>
      <c r="E445" s="126" t="s">
        <v>700</v>
      </c>
      <c r="F445" s="279">
        <v>2848029</v>
      </c>
      <c r="G445" s="284" t="s">
        <v>1370</v>
      </c>
    </row>
    <row r="446" spans="1:7">
      <c r="A446" s="323" t="s">
        <v>702</v>
      </c>
      <c r="B446" s="324">
        <v>527319835</v>
      </c>
      <c r="C446" s="325" t="s">
        <v>678</v>
      </c>
      <c r="D446" s="118"/>
      <c r="E446" s="126" t="s">
        <v>700</v>
      </c>
      <c r="F446" s="279">
        <v>5580663</v>
      </c>
      <c r="G446" s="279" t="s">
        <v>678</v>
      </c>
    </row>
    <row r="447" spans="1:7">
      <c r="A447" s="323" t="s">
        <v>714</v>
      </c>
      <c r="B447" s="324">
        <v>1523665694</v>
      </c>
      <c r="C447" s="325" t="s">
        <v>1371</v>
      </c>
      <c r="D447" s="118"/>
      <c r="E447" s="126" t="s">
        <v>700</v>
      </c>
      <c r="F447" s="279">
        <v>10501278</v>
      </c>
      <c r="G447" s="284" t="s">
        <v>1372</v>
      </c>
    </row>
    <row r="448" spans="1:7">
      <c r="A448" s="323" t="s">
        <v>702</v>
      </c>
      <c r="B448" s="324">
        <v>2113887041</v>
      </c>
      <c r="C448" s="325" t="s">
        <v>1373</v>
      </c>
      <c r="D448" s="118"/>
      <c r="E448" s="126" t="s">
        <v>700</v>
      </c>
      <c r="F448" s="279">
        <v>10540288</v>
      </c>
      <c r="G448" s="284" t="s">
        <v>1373</v>
      </c>
    </row>
    <row r="449" spans="1:7">
      <c r="A449" s="323" t="s">
        <v>702</v>
      </c>
      <c r="B449" s="324">
        <v>1955014542</v>
      </c>
      <c r="C449" s="325" t="s">
        <v>1374</v>
      </c>
      <c r="D449" s="118"/>
      <c r="E449" s="126" t="s">
        <v>700</v>
      </c>
      <c r="F449" s="279">
        <v>2107450</v>
      </c>
      <c r="G449" s="279" t="s">
        <v>1375</v>
      </c>
    </row>
    <row r="450" spans="1:7">
      <c r="A450" s="323" t="s">
        <v>714</v>
      </c>
      <c r="B450" s="324">
        <v>1668205691</v>
      </c>
      <c r="C450" s="325" t="s">
        <v>1376</v>
      </c>
      <c r="D450" s="118"/>
      <c r="E450" s="126" t="s">
        <v>700</v>
      </c>
      <c r="F450" s="279">
        <v>10627008</v>
      </c>
      <c r="G450" s="279" t="s">
        <v>1376</v>
      </c>
    </row>
    <row r="451" spans="1:7">
      <c r="A451" s="323" t="s">
        <v>714</v>
      </c>
      <c r="B451" s="324">
        <v>1285555848</v>
      </c>
      <c r="C451" s="325" t="s">
        <v>679</v>
      </c>
      <c r="D451" s="118" t="s">
        <v>1377</v>
      </c>
      <c r="E451" s="126" t="s">
        <v>700</v>
      </c>
      <c r="F451" s="279">
        <v>3699837</v>
      </c>
      <c r="G451" s="279" t="s">
        <v>1377</v>
      </c>
    </row>
    <row r="452" spans="1:7">
      <c r="A452" s="323" t="s">
        <v>751</v>
      </c>
      <c r="B452" s="324">
        <v>20460712</v>
      </c>
      <c r="C452" s="325" t="s">
        <v>1378</v>
      </c>
      <c r="D452" s="118"/>
      <c r="E452" s="126" t="s">
        <v>700</v>
      </c>
      <c r="F452" s="279">
        <v>9076034</v>
      </c>
      <c r="G452" s="279" t="s">
        <v>1379</v>
      </c>
    </row>
    <row r="453" spans="1:7">
      <c r="A453" s="323" t="s">
        <v>702</v>
      </c>
      <c r="B453" s="324">
        <v>18433091</v>
      </c>
      <c r="C453" s="325" t="s">
        <v>1380</v>
      </c>
      <c r="D453" s="118"/>
      <c r="E453" s="126" t="s">
        <v>700</v>
      </c>
      <c r="F453" s="279">
        <v>5740572</v>
      </c>
      <c r="G453" s="279" t="s">
        <v>1381</v>
      </c>
    </row>
    <row r="454" spans="1:7">
      <c r="A454" s="323" t="s">
        <v>714</v>
      </c>
      <c r="B454" s="324">
        <v>478825694</v>
      </c>
      <c r="C454" s="325" t="s">
        <v>1382</v>
      </c>
      <c r="D454" s="118"/>
      <c r="E454" s="126" t="s">
        <v>700</v>
      </c>
      <c r="F454" s="279">
        <v>7491857</v>
      </c>
      <c r="G454" s="279" t="s">
        <v>1383</v>
      </c>
    </row>
    <row r="455" spans="1:7">
      <c r="A455" s="323" t="s">
        <v>702</v>
      </c>
      <c r="B455" s="324">
        <v>15923234</v>
      </c>
      <c r="C455" s="325" t="s">
        <v>1384</v>
      </c>
      <c r="D455" s="118"/>
      <c r="E455" s="126" t="s">
        <v>700</v>
      </c>
      <c r="F455" s="279">
        <v>6236565</v>
      </c>
      <c r="G455" s="279" t="s">
        <v>1385</v>
      </c>
    </row>
    <row r="456" spans="1:7">
      <c r="A456" s="323" t="s">
        <v>702</v>
      </c>
      <c r="B456" s="325" t="s">
        <v>1386</v>
      </c>
      <c r="C456" s="325" t="s">
        <v>1387</v>
      </c>
      <c r="D456" s="118"/>
      <c r="E456" s="126" t="s">
        <v>700</v>
      </c>
      <c r="F456" s="279">
        <v>10622532</v>
      </c>
      <c r="G456" s="279" t="s">
        <v>1388</v>
      </c>
    </row>
    <row r="457" spans="1:7">
      <c r="A457" s="323" t="s">
        <v>702</v>
      </c>
      <c r="B457" s="325" t="s">
        <v>1389</v>
      </c>
      <c r="C457" s="325" t="s">
        <v>1390</v>
      </c>
      <c r="D457" s="330"/>
      <c r="E457" s="126" t="s">
        <v>700</v>
      </c>
      <c r="F457" s="279">
        <v>9854518</v>
      </c>
      <c r="G457" s="279" t="s">
        <v>1391</v>
      </c>
    </row>
    <row r="458" spans="1:7">
      <c r="A458" s="323" t="s">
        <v>714</v>
      </c>
      <c r="B458" s="271">
        <v>24101265</v>
      </c>
      <c r="C458" s="270" t="s">
        <v>1392</v>
      </c>
      <c r="D458" s="118"/>
      <c r="E458" s="126" t="s">
        <v>700</v>
      </c>
      <c r="F458" s="279">
        <v>10598364</v>
      </c>
      <c r="G458" s="279" t="s">
        <v>1393</v>
      </c>
    </row>
    <row r="459" spans="1:7">
      <c r="A459" s="323" t="s">
        <v>695</v>
      </c>
      <c r="B459" s="271">
        <v>16671656</v>
      </c>
      <c r="C459" s="270" t="s">
        <v>1394</v>
      </c>
      <c r="D459" s="118" t="s">
        <v>1395</v>
      </c>
      <c r="E459" s="126" t="s">
        <v>700</v>
      </c>
      <c r="F459" s="279">
        <v>10192715</v>
      </c>
      <c r="G459" s="279" t="s">
        <v>1396</v>
      </c>
    </row>
    <row r="460" spans="1:7">
      <c r="A460" s="331" t="s">
        <v>695</v>
      </c>
      <c r="B460" s="271">
        <v>383551518</v>
      </c>
      <c r="C460" s="270" t="s">
        <v>1397</v>
      </c>
      <c r="D460" s="118"/>
      <c r="E460" s="126" t="s">
        <v>700</v>
      </c>
      <c r="F460" s="279">
        <v>10072131</v>
      </c>
      <c r="G460" s="332" t="s">
        <v>1398</v>
      </c>
    </row>
  </sheetData>
  <phoneticPr fontId="67" type="noConversion"/>
  <conditionalFormatting sqref="D218 B1:B152 B157:B160 B164 C185:C215">
    <cfRule type="duplicateValues" dxfId="10" priority="9"/>
  </conditionalFormatting>
  <conditionalFormatting sqref="C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{D939A91E-79B2-446F-B3BA-DD1AA36C9890}</x14:id>
        </ext>
      </extLst>
    </cfRule>
  </conditionalFormatting>
  <conditionalFormatting sqref="C228 B1:B396 C231:D231">
    <cfRule type="duplicateValues" dxfId="9" priority="25"/>
  </conditionalFormatting>
  <conditionalFormatting sqref="B2:B221 B231:D231">
    <cfRule type="duplicateValues" dxfId="8" priority="29"/>
  </conditionalFormatting>
  <conditionalFormatting sqref="C157:C159 B1:B222 C164 B224 B225:C225 C226 B229:C229 B231:D231">
    <cfRule type="duplicateValues" dxfId="7" priority="32"/>
  </conditionalFormatting>
  <conditionalFormatting sqref="C1:C460">
    <cfRule type="duplicateValues" dxfId="0" priority="33"/>
  </conditionalFormatting>
  <dataValidations count="1">
    <dataValidation type="list" allowBlank="1" showInputMessage="1" showErrorMessage="1" sqref="E2:E1048576" xr:uid="{00000000-0002-0000-0000-000004000000}">
      <formula1>"沟通入驻中,已入驻,拒绝入驻,"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39A91E-79B2-446F-B3BA-DD1AA36C9890}">
            <x14:dataBar minLength="0" maxLength="100" gradient="0" direction="leftToRight">
              <x14:cfvo type="autoMin"/>
              <x14:cfvo type="autoMax"/>
              <x14:negativeFillColor rgb="FFFF0000"/>
              <x14:axisColor auto="1"/>
            </x14:dataBar>
          </x14:cfRule>
          <xm:sqref>C1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匹配"/>
  <dimension ref="A1:E225"/>
  <sheetViews>
    <sheetView workbookViewId="0"/>
  </sheetViews>
  <sheetFormatPr defaultColWidth="13.81640625" defaultRowHeight="18" customHeight="1"/>
  <cols>
    <col min="1" max="1" width="13.7265625" customWidth="1"/>
    <col min="2" max="2" width="50.7265625" customWidth="1"/>
    <col min="3" max="3" width="13.7265625" customWidth="1"/>
    <col min="4" max="4" width="25.7265625" customWidth="1"/>
    <col min="5" max="5" width="15.7265625" customWidth="1"/>
  </cols>
  <sheetData>
    <row r="1" spans="1:5">
      <c r="A1" s="129" t="s">
        <v>588</v>
      </c>
      <c r="B1" s="130" t="s">
        <v>589</v>
      </c>
      <c r="C1" s="130" t="s">
        <v>590</v>
      </c>
      <c r="D1" s="131" t="s">
        <v>591</v>
      </c>
      <c r="E1" s="131" t="s">
        <v>592</v>
      </c>
    </row>
    <row r="2" spans="1:5">
      <c r="A2" s="132" t="s">
        <v>60</v>
      </c>
      <c r="B2" s="133">
        <v>2051.1</v>
      </c>
      <c r="C2" s="133">
        <v>3200</v>
      </c>
      <c r="D2" s="131">
        <v>5251.1</v>
      </c>
      <c r="E2" s="131">
        <v>52511000</v>
      </c>
    </row>
    <row r="3" spans="1:5">
      <c r="A3" s="132" t="s">
        <v>163</v>
      </c>
      <c r="B3" s="133">
        <v>586.73</v>
      </c>
      <c r="C3" s="133"/>
      <c r="D3" s="131">
        <v>586.73</v>
      </c>
      <c r="E3" s="131">
        <v>5867300</v>
      </c>
    </row>
    <row r="4" spans="1:5">
      <c r="A4" s="132" t="s">
        <v>78</v>
      </c>
      <c r="B4" s="133">
        <v>9454.7000000000007</v>
      </c>
      <c r="C4" s="133">
        <v>15000</v>
      </c>
      <c r="D4" s="131">
        <v>24454.7</v>
      </c>
      <c r="E4" s="131">
        <v>244547000</v>
      </c>
    </row>
    <row r="5" spans="1:5">
      <c r="A5" s="132" t="s">
        <v>357</v>
      </c>
      <c r="B5" s="133">
        <v>95.635999999999996</v>
      </c>
      <c r="C5" s="133">
        <v>0.5</v>
      </c>
      <c r="D5" s="131">
        <v>96.135999999999996</v>
      </c>
      <c r="E5" s="131">
        <v>961360</v>
      </c>
    </row>
    <row r="6" spans="1:5">
      <c r="A6" s="132" t="s">
        <v>153</v>
      </c>
      <c r="B6" s="133">
        <v>42.884</v>
      </c>
      <c r="C6" s="133"/>
      <c r="D6" s="131">
        <v>42.884</v>
      </c>
      <c r="E6" s="131">
        <v>428840</v>
      </c>
    </row>
    <row r="7" spans="1:5">
      <c r="A7" s="132" t="s">
        <v>84</v>
      </c>
      <c r="B7" s="133">
        <v>2742.5</v>
      </c>
      <c r="C7" s="133">
        <v>1750</v>
      </c>
      <c r="D7" s="131">
        <v>4492.5</v>
      </c>
      <c r="E7" s="131">
        <v>44925000</v>
      </c>
    </row>
    <row r="8" spans="1:5">
      <c r="A8" s="132" t="s">
        <v>74</v>
      </c>
      <c r="B8" s="133">
        <v>1745.8</v>
      </c>
      <c r="C8" s="133">
        <v>1100</v>
      </c>
      <c r="D8" s="131">
        <v>2845.8</v>
      </c>
      <c r="E8" s="131">
        <v>28458000</v>
      </c>
    </row>
    <row r="9" spans="1:5">
      <c r="A9" s="132" t="s">
        <v>85</v>
      </c>
      <c r="B9" s="133">
        <v>849.53</v>
      </c>
      <c r="C9" s="133">
        <v>0</v>
      </c>
      <c r="D9" s="131">
        <v>849.53</v>
      </c>
      <c r="E9" s="131">
        <v>8495300</v>
      </c>
    </row>
    <row r="10" spans="1:5">
      <c r="A10" s="132" t="s">
        <v>69</v>
      </c>
      <c r="B10" s="133">
        <v>304.85000000000002</v>
      </c>
      <c r="C10" s="133">
        <v>88</v>
      </c>
      <c r="D10" s="131">
        <v>392.85</v>
      </c>
      <c r="E10" s="131">
        <v>3928500</v>
      </c>
    </row>
    <row r="11" spans="1:5">
      <c r="A11" s="132" t="s">
        <v>207</v>
      </c>
      <c r="B11" s="133">
        <v>75.575999999999993</v>
      </c>
      <c r="C11" s="133"/>
      <c r="D11" s="131">
        <v>75.575999999999993</v>
      </c>
      <c r="E11" s="131">
        <v>755760</v>
      </c>
    </row>
    <row r="12" spans="1:5">
      <c r="A12" s="132" t="s">
        <v>593</v>
      </c>
      <c r="B12" s="133">
        <v>394.81</v>
      </c>
      <c r="C12" s="133">
        <v>0</v>
      </c>
      <c r="D12" s="131">
        <v>394.81</v>
      </c>
      <c r="E12" s="131">
        <v>3948100</v>
      </c>
    </row>
    <row r="13" spans="1:5">
      <c r="A13" s="132" t="s">
        <v>235</v>
      </c>
      <c r="B13" s="133">
        <v>83.210999999999999</v>
      </c>
      <c r="C13" s="133">
        <v>2000</v>
      </c>
      <c r="D13" s="131">
        <v>2083.2109999999998</v>
      </c>
      <c r="E13" s="131">
        <v>20832110</v>
      </c>
    </row>
    <row r="14" spans="1:5">
      <c r="A14" s="132" t="s">
        <v>205</v>
      </c>
      <c r="B14" s="133">
        <v>25.532</v>
      </c>
      <c r="C14" s="133">
        <v>0</v>
      </c>
      <c r="D14" s="131">
        <v>25.532</v>
      </c>
      <c r="E14" s="131">
        <v>255320</v>
      </c>
    </row>
    <row r="15" spans="1:5">
      <c r="A15" s="132" t="s">
        <v>594</v>
      </c>
      <c r="B15" s="133">
        <v>154.12</v>
      </c>
      <c r="C15" s="134"/>
      <c r="D15" s="131">
        <v>154.12</v>
      </c>
      <c r="E15" s="131">
        <v>1541200</v>
      </c>
    </row>
    <row r="16" spans="1:5">
      <c r="A16" s="132" t="s">
        <v>57</v>
      </c>
      <c r="B16" s="133">
        <v>19.295999999999999</v>
      </c>
      <c r="C16" s="133">
        <v>250</v>
      </c>
      <c r="D16" s="131">
        <v>269.29599999999999</v>
      </c>
      <c r="E16" s="131">
        <v>2692960</v>
      </c>
    </row>
    <row r="17" spans="1:5">
      <c r="A17" s="132" t="s">
        <v>595</v>
      </c>
      <c r="B17" s="133">
        <v>166.09</v>
      </c>
      <c r="C17" s="133">
        <v>0</v>
      </c>
      <c r="D17" s="131">
        <v>166.09</v>
      </c>
      <c r="E17" s="131">
        <v>1660900</v>
      </c>
    </row>
    <row r="18" spans="1:5">
      <c r="A18" s="132" t="s">
        <v>313</v>
      </c>
      <c r="B18" s="133">
        <v>174.93</v>
      </c>
      <c r="C18" s="133">
        <v>0</v>
      </c>
      <c r="D18" s="131">
        <v>174.93</v>
      </c>
      <c r="E18" s="131">
        <v>1749300</v>
      </c>
    </row>
    <row r="19" spans="1:5">
      <c r="A19" s="132" t="s">
        <v>121</v>
      </c>
      <c r="B19" s="133">
        <v>7.1401000000000003</v>
      </c>
      <c r="C19" s="133"/>
      <c r="D19" s="131">
        <v>7.1401000000000003</v>
      </c>
      <c r="E19" s="131">
        <v>71401</v>
      </c>
    </row>
    <row r="20" spans="1:5">
      <c r="A20" s="132" t="s">
        <v>80</v>
      </c>
      <c r="B20" s="133">
        <v>10.430999999999999</v>
      </c>
      <c r="C20" s="134"/>
      <c r="D20" s="131">
        <v>10.430999999999999</v>
      </c>
      <c r="E20" s="131">
        <v>104310</v>
      </c>
    </row>
    <row r="21" spans="1:5">
      <c r="A21" s="132" t="s">
        <v>496</v>
      </c>
      <c r="B21" s="133">
        <v>1265.0999999999999</v>
      </c>
      <c r="C21" s="133">
        <v>175</v>
      </c>
      <c r="D21" s="131">
        <v>1440.1</v>
      </c>
      <c r="E21" s="131">
        <v>14401000</v>
      </c>
    </row>
    <row r="22" spans="1:5">
      <c r="A22" s="132" t="s">
        <v>21</v>
      </c>
      <c r="B22" s="133">
        <v>51.218000000000004</v>
      </c>
      <c r="C22" s="133">
        <v>2000</v>
      </c>
      <c r="D22" s="131">
        <v>2051.2179999999998</v>
      </c>
      <c r="E22" s="131">
        <v>20512180</v>
      </c>
    </row>
    <row r="23" spans="1:5">
      <c r="A23" s="132" t="s">
        <v>283</v>
      </c>
      <c r="B23" s="133">
        <v>6.8422999999999998</v>
      </c>
      <c r="C23" s="133"/>
      <c r="D23" s="131">
        <v>6.8422999999999998</v>
      </c>
      <c r="E23" s="131">
        <v>68423</v>
      </c>
    </row>
    <row r="24" spans="1:5">
      <c r="A24" s="132" t="s">
        <v>27</v>
      </c>
      <c r="B24" s="133">
        <v>153.33000000000001</v>
      </c>
      <c r="C24" s="133">
        <v>6</v>
      </c>
      <c r="D24" s="131">
        <v>159.33000000000001</v>
      </c>
      <c r="E24" s="131">
        <v>1593300</v>
      </c>
    </row>
    <row r="25" spans="1:5">
      <c r="A25" s="132" t="s">
        <v>88</v>
      </c>
      <c r="B25" s="133">
        <v>411.11</v>
      </c>
      <c r="C25" s="133">
        <v>0.2</v>
      </c>
      <c r="D25" s="131">
        <v>411.31</v>
      </c>
      <c r="E25" s="131">
        <v>4113100</v>
      </c>
    </row>
    <row r="26" spans="1:5">
      <c r="A26" s="132" t="s">
        <v>596</v>
      </c>
      <c r="B26" s="133">
        <v>21.091000000000001</v>
      </c>
      <c r="C26" s="133">
        <v>0</v>
      </c>
      <c r="D26" s="131">
        <v>21.091000000000001</v>
      </c>
      <c r="E26" s="131">
        <v>210910</v>
      </c>
    </row>
    <row r="27" spans="1:5">
      <c r="A27" s="135" t="s">
        <v>92</v>
      </c>
      <c r="B27" s="133">
        <v>46.261000000000003</v>
      </c>
      <c r="C27" s="133">
        <v>625</v>
      </c>
      <c r="D27" s="131">
        <v>671.26099999999997</v>
      </c>
      <c r="E27" s="131">
        <v>6712610</v>
      </c>
    </row>
    <row r="28" spans="1:5">
      <c r="A28" s="132" t="s">
        <v>597</v>
      </c>
      <c r="B28" s="133">
        <v>161.16</v>
      </c>
      <c r="C28" s="133">
        <v>63</v>
      </c>
      <c r="D28" s="131">
        <v>224.16</v>
      </c>
      <c r="E28" s="131">
        <v>2241600</v>
      </c>
    </row>
    <row r="29" spans="1:5">
      <c r="A29" s="132" t="s">
        <v>25</v>
      </c>
      <c r="B29" s="133">
        <v>14.45</v>
      </c>
      <c r="C29" s="133">
        <v>0</v>
      </c>
      <c r="D29" s="131">
        <v>14.45</v>
      </c>
      <c r="E29" s="131">
        <v>144500</v>
      </c>
    </row>
    <row r="30" spans="1:5">
      <c r="A30" s="132" t="s">
        <v>598</v>
      </c>
      <c r="B30" s="133">
        <v>41.084000000000003</v>
      </c>
      <c r="C30" s="133">
        <v>350</v>
      </c>
      <c r="D30" s="131">
        <v>391.084</v>
      </c>
      <c r="E30" s="131">
        <v>3910840</v>
      </c>
    </row>
    <row r="31" spans="1:5">
      <c r="A31" s="132" t="s">
        <v>450</v>
      </c>
      <c r="B31" s="133">
        <v>147.4</v>
      </c>
      <c r="C31" s="133">
        <v>40</v>
      </c>
      <c r="D31" s="131">
        <v>187.4</v>
      </c>
      <c r="E31" s="131">
        <v>1874000</v>
      </c>
    </row>
    <row r="32" spans="1:5">
      <c r="A32" s="132" t="s">
        <v>599</v>
      </c>
      <c r="B32" s="133">
        <v>1262.9000000000001</v>
      </c>
      <c r="C32" s="133"/>
      <c r="D32" s="131">
        <v>1262.9000000000001</v>
      </c>
      <c r="E32" s="131">
        <v>12629000</v>
      </c>
    </row>
    <row r="33" spans="1:5">
      <c r="A33" s="132" t="s">
        <v>600</v>
      </c>
      <c r="B33" s="133">
        <v>23.041</v>
      </c>
      <c r="C33" s="136">
        <v>1</v>
      </c>
      <c r="D33" s="131">
        <v>24.041</v>
      </c>
      <c r="E33" s="131">
        <v>240410</v>
      </c>
    </row>
    <row r="34" spans="1:5">
      <c r="A34" s="132" t="s">
        <v>55</v>
      </c>
      <c r="B34" s="133">
        <v>22.254000000000001</v>
      </c>
      <c r="C34" s="133">
        <v>0.5</v>
      </c>
      <c r="D34" s="131">
        <v>22.754000000000001</v>
      </c>
      <c r="E34" s="131">
        <v>227540</v>
      </c>
    </row>
    <row r="35" spans="1:5">
      <c r="A35" s="132" t="s">
        <v>35</v>
      </c>
      <c r="B35" s="133">
        <v>274.97000000000003</v>
      </c>
      <c r="C35" s="133">
        <v>0</v>
      </c>
      <c r="D35" s="131">
        <v>274.97000000000003</v>
      </c>
      <c r="E35" s="131">
        <v>2749700</v>
      </c>
    </row>
    <row r="36" spans="1:5">
      <c r="A36" s="137" t="s">
        <v>71</v>
      </c>
      <c r="B36" s="133">
        <v>1583.5</v>
      </c>
      <c r="C36" s="133">
        <v>1000</v>
      </c>
      <c r="D36" s="131">
        <v>2583.5</v>
      </c>
      <c r="E36" s="131">
        <v>25835000</v>
      </c>
    </row>
    <row r="37" spans="1:5">
      <c r="A37" s="137" t="s">
        <v>601</v>
      </c>
      <c r="B37" s="133">
        <v>19.463000000000001</v>
      </c>
      <c r="C37" s="133">
        <v>20</v>
      </c>
      <c r="D37" s="131">
        <v>39.463000000000001</v>
      </c>
      <c r="E37" s="131">
        <v>394630</v>
      </c>
    </row>
    <row r="38" spans="1:5">
      <c r="A38" s="132" t="s">
        <v>41</v>
      </c>
      <c r="B38" s="133">
        <v>84.83</v>
      </c>
      <c r="C38" s="133">
        <v>0</v>
      </c>
      <c r="D38" s="131">
        <v>84.83</v>
      </c>
      <c r="E38" s="131">
        <v>848300</v>
      </c>
    </row>
    <row r="39" spans="1:5">
      <c r="A39" s="132" t="s">
        <v>67</v>
      </c>
      <c r="B39" s="133">
        <v>1215.3</v>
      </c>
      <c r="C39" s="133">
        <v>2000</v>
      </c>
      <c r="D39" s="131">
        <v>3215.3</v>
      </c>
      <c r="E39" s="131">
        <v>32153000</v>
      </c>
    </row>
    <row r="40" spans="1:5">
      <c r="A40" s="132" t="s">
        <v>602</v>
      </c>
      <c r="B40" s="133">
        <v>45.058999999999997</v>
      </c>
      <c r="C40" s="136">
        <v>88</v>
      </c>
      <c r="D40" s="131">
        <v>133.059</v>
      </c>
      <c r="E40" s="131">
        <v>1330590</v>
      </c>
    </row>
    <row r="41" spans="1:5">
      <c r="A41" s="132" t="s">
        <v>344</v>
      </c>
      <c r="B41" s="133">
        <v>116.97</v>
      </c>
      <c r="C41" s="133">
        <v>0</v>
      </c>
      <c r="D41" s="131">
        <v>116.97</v>
      </c>
      <c r="E41" s="131">
        <v>1169700</v>
      </c>
    </row>
    <row r="42" spans="1:5">
      <c r="A42" s="132" t="s">
        <v>76</v>
      </c>
      <c r="B42" s="133">
        <v>586.98</v>
      </c>
      <c r="C42" s="133">
        <v>1750</v>
      </c>
      <c r="D42" s="131">
        <v>2336.98</v>
      </c>
      <c r="E42" s="131">
        <v>23369800</v>
      </c>
    </row>
    <row r="43" spans="1:5">
      <c r="A43" s="132" t="s">
        <v>603</v>
      </c>
      <c r="B43" s="133">
        <v>126.27</v>
      </c>
      <c r="C43" s="133">
        <v>175</v>
      </c>
      <c r="D43" s="131">
        <v>301.27</v>
      </c>
      <c r="E43" s="131">
        <v>3012700</v>
      </c>
    </row>
    <row r="44" spans="1:5">
      <c r="A44" s="132" t="s">
        <v>47</v>
      </c>
      <c r="B44" s="133">
        <v>83.593999999999994</v>
      </c>
      <c r="C44" s="133">
        <v>5</v>
      </c>
      <c r="D44" s="131">
        <v>88.593999999999994</v>
      </c>
      <c r="E44" s="131">
        <v>885940</v>
      </c>
    </row>
    <row r="45" spans="1:5">
      <c r="A45" s="137" t="s">
        <v>94</v>
      </c>
      <c r="B45" s="138">
        <v>4868.3999999999996</v>
      </c>
      <c r="C45" s="133">
        <v>6000</v>
      </c>
      <c r="D45" s="131">
        <v>10868.4</v>
      </c>
      <c r="E45" s="131">
        <v>108684000</v>
      </c>
    </row>
    <row r="46" spans="1:5">
      <c r="A46" s="137" t="s">
        <v>96</v>
      </c>
      <c r="B46" s="138">
        <v>1939.5</v>
      </c>
      <c r="C46" s="133">
        <v>2</v>
      </c>
      <c r="D46" s="131">
        <v>1941.5</v>
      </c>
      <c r="E46" s="131">
        <v>19415000</v>
      </c>
    </row>
    <row r="47" spans="1:5">
      <c r="A47" s="137" t="s">
        <v>93</v>
      </c>
      <c r="B47" s="138">
        <v>2291.4</v>
      </c>
      <c r="C47" s="133">
        <v>5</v>
      </c>
      <c r="D47" s="131">
        <v>2296.4</v>
      </c>
      <c r="E47" s="131">
        <v>22964000</v>
      </c>
    </row>
    <row r="48" spans="1:5">
      <c r="A48" s="137" t="s">
        <v>604</v>
      </c>
      <c r="B48" s="138">
        <v>45.613</v>
      </c>
      <c r="C48" s="136">
        <v>0.5</v>
      </c>
      <c r="D48" s="131">
        <v>46.113</v>
      </c>
      <c r="E48" s="131">
        <v>461130</v>
      </c>
    </row>
    <row r="49" spans="1:5">
      <c r="A49" s="132" t="s">
        <v>29</v>
      </c>
      <c r="B49" s="133">
        <v>853.06</v>
      </c>
      <c r="C49" s="133">
        <v>40</v>
      </c>
      <c r="D49" s="131">
        <v>893.06</v>
      </c>
      <c r="E49" s="131">
        <v>8930600</v>
      </c>
    </row>
    <row r="50" spans="1:5">
      <c r="A50" s="132" t="s">
        <v>605</v>
      </c>
      <c r="B50" s="133">
        <v>29.173999999999999</v>
      </c>
      <c r="C50" s="133"/>
      <c r="D50" s="131">
        <v>29.173999999999999</v>
      </c>
      <c r="E50" s="131">
        <v>291740</v>
      </c>
    </row>
    <row r="51" spans="1:5">
      <c r="A51" s="132" t="s">
        <v>606</v>
      </c>
      <c r="B51" s="133">
        <v>11.805999999999999</v>
      </c>
      <c r="C51" s="133">
        <v>3500</v>
      </c>
      <c r="D51" s="131">
        <v>3511.806</v>
      </c>
      <c r="E51" s="131">
        <v>35118060</v>
      </c>
    </row>
    <row r="52" spans="1:5">
      <c r="A52" s="132" t="s">
        <v>87</v>
      </c>
      <c r="B52" s="133">
        <v>404.52</v>
      </c>
      <c r="C52" s="133">
        <v>0</v>
      </c>
      <c r="D52" s="131">
        <v>404.52</v>
      </c>
      <c r="E52" s="131">
        <v>4045200</v>
      </c>
    </row>
    <row r="53" spans="1:5">
      <c r="A53" s="132" t="s">
        <v>607</v>
      </c>
      <c r="B53" s="133">
        <v>50.76</v>
      </c>
      <c r="C53" s="133">
        <v>1875</v>
      </c>
      <c r="D53" s="131">
        <v>1925.76</v>
      </c>
      <c r="E53" s="131">
        <v>19257600</v>
      </c>
    </row>
    <row r="54" spans="1:5">
      <c r="A54" s="132" t="s">
        <v>608</v>
      </c>
      <c r="B54" s="133">
        <v>75.498999999999995</v>
      </c>
      <c r="C54" s="133">
        <v>0</v>
      </c>
      <c r="D54" s="131">
        <v>75.498999999999995</v>
      </c>
      <c r="E54" s="131">
        <v>754990</v>
      </c>
    </row>
    <row r="55" spans="1:5">
      <c r="A55" s="132" t="s">
        <v>95</v>
      </c>
      <c r="B55" s="133">
        <v>266.44</v>
      </c>
      <c r="C55" s="133"/>
      <c r="D55" s="131">
        <v>266.44</v>
      </c>
      <c r="E55" s="131">
        <v>2664400</v>
      </c>
    </row>
    <row r="56" spans="1:5">
      <c r="A56" s="132" t="s">
        <v>467</v>
      </c>
      <c r="B56" s="133">
        <v>3.8329</v>
      </c>
      <c r="C56" s="133">
        <v>0</v>
      </c>
      <c r="D56" s="131">
        <v>3.8329</v>
      </c>
      <c r="E56" s="131">
        <v>38329</v>
      </c>
    </row>
    <row r="57" spans="1:5">
      <c r="A57" s="132" t="s">
        <v>609</v>
      </c>
      <c r="B57" s="133">
        <v>29.032</v>
      </c>
      <c r="C57" s="133">
        <v>0</v>
      </c>
      <c r="D57" s="131">
        <v>29.032</v>
      </c>
      <c r="E57" s="131">
        <v>290320</v>
      </c>
    </row>
    <row r="58" spans="1:5">
      <c r="A58" s="132" t="s">
        <v>65</v>
      </c>
      <c r="B58" s="133">
        <v>7.0991999999999997</v>
      </c>
      <c r="C58" s="133">
        <v>0.2</v>
      </c>
      <c r="D58" s="131">
        <v>7.2991999999999999</v>
      </c>
      <c r="E58" s="131">
        <v>72992</v>
      </c>
    </row>
    <row r="59" spans="1:5">
      <c r="A59" s="137" t="s">
        <v>33</v>
      </c>
      <c r="B59" s="133">
        <v>1.0537000000000001</v>
      </c>
      <c r="C59" s="133">
        <v>300</v>
      </c>
      <c r="D59" s="131">
        <v>301.05369999999999</v>
      </c>
      <c r="E59" s="131">
        <v>3010537</v>
      </c>
    </row>
    <row r="60" spans="1:5">
      <c r="A60" s="137" t="s">
        <v>37</v>
      </c>
      <c r="B60" s="133">
        <v>466.98</v>
      </c>
      <c r="C60" s="133"/>
      <c r="D60" s="131">
        <v>466.98</v>
      </c>
      <c r="E60" s="131">
        <v>4669800</v>
      </c>
    </row>
    <row r="61" spans="1:5">
      <c r="A61" s="137" t="s">
        <v>610</v>
      </c>
      <c r="B61" s="133">
        <v>94.736000000000004</v>
      </c>
      <c r="C61" s="133">
        <v>20</v>
      </c>
      <c r="D61" s="131">
        <v>114.736</v>
      </c>
      <c r="E61" s="131">
        <v>1147360</v>
      </c>
    </row>
    <row r="62" spans="1:5">
      <c r="A62" s="137" t="s">
        <v>72</v>
      </c>
      <c r="B62" s="133">
        <v>652.74</v>
      </c>
      <c r="C62" s="133">
        <v>700</v>
      </c>
      <c r="D62" s="131">
        <v>1352.74</v>
      </c>
      <c r="E62" s="131">
        <v>13527400</v>
      </c>
    </row>
    <row r="63" spans="1:5">
      <c r="A63" s="137" t="s">
        <v>73</v>
      </c>
      <c r="B63" s="133">
        <v>463.21</v>
      </c>
      <c r="C63" s="134"/>
      <c r="D63" s="131">
        <v>463.21</v>
      </c>
      <c r="E63" s="131">
        <v>4632100</v>
      </c>
    </row>
    <row r="64" spans="1:5">
      <c r="A64" s="137" t="s">
        <v>30</v>
      </c>
      <c r="B64" s="133">
        <v>315.62</v>
      </c>
      <c r="C64" s="133">
        <v>3000</v>
      </c>
      <c r="D64" s="131">
        <v>3315.62</v>
      </c>
      <c r="E64" s="131">
        <v>33156200</v>
      </c>
    </row>
    <row r="65" spans="1:5">
      <c r="A65" s="137" t="s">
        <v>611</v>
      </c>
      <c r="B65" s="133">
        <v>38.234999999999999</v>
      </c>
      <c r="C65" s="134"/>
      <c r="D65" s="131">
        <v>38.234999999999999</v>
      </c>
      <c r="E65" s="131">
        <v>382350</v>
      </c>
    </row>
    <row r="66" spans="1:5">
      <c r="A66" s="137" t="s">
        <v>64</v>
      </c>
      <c r="B66" s="133">
        <v>22.097999999999999</v>
      </c>
      <c r="C66" s="133">
        <v>0</v>
      </c>
      <c r="D66" s="131">
        <v>22.097999999999999</v>
      </c>
      <c r="E66" s="131">
        <v>220980</v>
      </c>
    </row>
    <row r="67" spans="1:5">
      <c r="A67" s="137" t="s">
        <v>447</v>
      </c>
      <c r="B67" s="133">
        <v>133.41999999999999</v>
      </c>
      <c r="C67" s="133">
        <v>20</v>
      </c>
      <c r="D67" s="131">
        <v>153.41999999999999</v>
      </c>
      <c r="E67" s="131">
        <v>1534200</v>
      </c>
    </row>
    <row r="68" spans="1:5">
      <c r="A68" s="137" t="s">
        <v>612</v>
      </c>
      <c r="B68" s="133">
        <v>358.91</v>
      </c>
      <c r="C68" s="133"/>
      <c r="D68" s="131">
        <v>358.91</v>
      </c>
      <c r="E68" s="131">
        <v>3589100</v>
      </c>
    </row>
    <row r="69" spans="1:5">
      <c r="A69" s="137" t="s">
        <v>613</v>
      </c>
      <c r="B69" s="133">
        <v>258.23</v>
      </c>
      <c r="C69" s="133">
        <v>50</v>
      </c>
      <c r="D69" s="131">
        <v>308.23</v>
      </c>
      <c r="E69" s="131">
        <v>3082300</v>
      </c>
    </row>
    <row r="70" spans="1:5">
      <c r="A70" s="137" t="s">
        <v>39</v>
      </c>
      <c r="B70" s="133">
        <v>196.7</v>
      </c>
      <c r="C70" s="133">
        <v>100</v>
      </c>
      <c r="D70" s="131">
        <v>296.7</v>
      </c>
      <c r="E70" s="131">
        <v>2967000</v>
      </c>
    </row>
    <row r="71" spans="1:5">
      <c r="A71" s="137" t="s">
        <v>49</v>
      </c>
      <c r="B71" s="133">
        <v>22.213999999999999</v>
      </c>
      <c r="C71" s="133">
        <v>4</v>
      </c>
      <c r="D71" s="131">
        <v>26.213999999999999</v>
      </c>
      <c r="E71" s="131">
        <v>262140</v>
      </c>
    </row>
    <row r="72" spans="1:5">
      <c r="A72" s="137" t="s">
        <v>473</v>
      </c>
      <c r="B72" s="133">
        <v>330.47</v>
      </c>
      <c r="C72" s="133">
        <v>900</v>
      </c>
      <c r="D72" s="131">
        <v>1230.47</v>
      </c>
      <c r="E72" s="131">
        <v>12304700</v>
      </c>
    </row>
    <row r="73" spans="1:5">
      <c r="A73" s="137" t="s">
        <v>614</v>
      </c>
      <c r="B73" s="133">
        <v>15.138</v>
      </c>
      <c r="C73" s="133">
        <v>1</v>
      </c>
      <c r="D73" s="131">
        <v>16.138000000000002</v>
      </c>
      <c r="E73" s="131">
        <v>161380</v>
      </c>
    </row>
    <row r="74" spans="1:5">
      <c r="A74" s="137" t="s">
        <v>615</v>
      </c>
      <c r="B74" s="133">
        <v>216.34</v>
      </c>
      <c r="C74" s="133">
        <v>60</v>
      </c>
      <c r="D74" s="131">
        <v>276.33999999999997</v>
      </c>
      <c r="E74" s="131">
        <v>2763400</v>
      </c>
    </row>
    <row r="75" spans="1:5">
      <c r="A75" s="137" t="s">
        <v>616</v>
      </c>
      <c r="B75" s="133">
        <v>1499.5</v>
      </c>
      <c r="C75" s="133">
        <v>9</v>
      </c>
      <c r="D75" s="131">
        <v>1508.5</v>
      </c>
      <c r="E75" s="131">
        <v>15085000</v>
      </c>
    </row>
    <row r="76" spans="1:5">
      <c r="A76" s="137" t="s">
        <v>617</v>
      </c>
      <c r="B76" s="133">
        <v>68.277000000000001</v>
      </c>
      <c r="C76" s="133">
        <v>175</v>
      </c>
      <c r="D76" s="131">
        <v>243.27699999999999</v>
      </c>
      <c r="E76" s="131">
        <v>2432770</v>
      </c>
    </row>
    <row r="77" spans="1:5">
      <c r="A77" s="137" t="s">
        <v>618</v>
      </c>
      <c r="B77" s="133">
        <v>261.60000000000002</v>
      </c>
      <c r="C77" s="133">
        <v>4000</v>
      </c>
      <c r="D77" s="131">
        <v>4261.6000000000004</v>
      </c>
      <c r="E77" s="131">
        <v>42616000</v>
      </c>
    </row>
    <row r="78" spans="1:5">
      <c r="A78" s="137" t="s">
        <v>619</v>
      </c>
      <c r="B78" s="133">
        <v>66.534000000000006</v>
      </c>
      <c r="C78" s="133"/>
      <c r="D78" s="131">
        <v>66.534000000000006</v>
      </c>
      <c r="E78" s="131">
        <v>665340</v>
      </c>
    </row>
    <row r="79" spans="1:5">
      <c r="A79" s="137" t="s">
        <v>620</v>
      </c>
      <c r="B79" s="133">
        <v>39.494999999999997</v>
      </c>
      <c r="C79" s="133">
        <v>400</v>
      </c>
      <c r="D79" s="131">
        <v>439.495</v>
      </c>
      <c r="E79" s="131">
        <v>4394950</v>
      </c>
    </row>
    <row r="80" spans="1:5">
      <c r="A80" s="137" t="s">
        <v>66</v>
      </c>
      <c r="B80" s="133">
        <v>378.58</v>
      </c>
      <c r="C80" s="133">
        <v>60</v>
      </c>
      <c r="D80" s="131">
        <v>438.58</v>
      </c>
      <c r="E80" s="131">
        <v>4385800</v>
      </c>
    </row>
    <row r="81" spans="1:5">
      <c r="A81" s="137" t="s">
        <v>68</v>
      </c>
      <c r="B81" s="133">
        <v>10.281000000000001</v>
      </c>
      <c r="C81" s="133">
        <v>600</v>
      </c>
      <c r="D81" s="131">
        <v>610.28099999999995</v>
      </c>
      <c r="E81" s="131">
        <v>6102810</v>
      </c>
    </row>
    <row r="82" spans="1:5">
      <c r="A82" s="137" t="s">
        <v>621</v>
      </c>
      <c r="B82" s="133">
        <v>179.62</v>
      </c>
      <c r="C82" s="133"/>
      <c r="D82" s="131">
        <v>179.62</v>
      </c>
      <c r="E82" s="131">
        <v>1796200</v>
      </c>
    </row>
    <row r="83" spans="1:5">
      <c r="A83" s="137" t="s">
        <v>622</v>
      </c>
      <c r="B83" s="133">
        <v>62.195</v>
      </c>
      <c r="C83" s="133">
        <v>800</v>
      </c>
      <c r="D83" s="131">
        <v>862.19500000000005</v>
      </c>
      <c r="E83" s="131">
        <v>8621950</v>
      </c>
    </row>
    <row r="84" spans="1:5">
      <c r="A84" s="137" t="s">
        <v>623</v>
      </c>
      <c r="B84" s="133">
        <v>230.64</v>
      </c>
      <c r="C84" s="133"/>
      <c r="D84" s="131">
        <v>230.64</v>
      </c>
      <c r="E84" s="131">
        <v>2306400</v>
      </c>
    </row>
    <row r="85" spans="1:5">
      <c r="A85" s="137" t="s">
        <v>58</v>
      </c>
      <c r="B85" s="133">
        <v>351.18</v>
      </c>
      <c r="C85" s="133">
        <v>60</v>
      </c>
      <c r="D85" s="131">
        <v>411.18</v>
      </c>
      <c r="E85" s="131">
        <v>4111800</v>
      </c>
    </row>
    <row r="86" spans="1:5">
      <c r="A86" s="137" t="s">
        <v>624</v>
      </c>
      <c r="B86" s="133">
        <v>92.745000000000005</v>
      </c>
      <c r="C86" s="133">
        <v>0</v>
      </c>
      <c r="D86" s="131">
        <v>92.745000000000005</v>
      </c>
      <c r="E86" s="131">
        <v>927450</v>
      </c>
    </row>
    <row r="87" spans="1:5">
      <c r="A87" s="139" t="s">
        <v>625</v>
      </c>
      <c r="B87" s="133">
        <v>13.836</v>
      </c>
      <c r="C87" s="133">
        <v>10</v>
      </c>
      <c r="D87" s="131">
        <v>23.835999999999999</v>
      </c>
      <c r="E87" s="131">
        <v>238360</v>
      </c>
    </row>
    <row r="88" spans="1:5">
      <c r="A88" s="137" t="s">
        <v>626</v>
      </c>
      <c r="B88" s="133">
        <v>106.33</v>
      </c>
      <c r="C88" s="133">
        <v>0</v>
      </c>
      <c r="D88" s="131">
        <v>106.33</v>
      </c>
      <c r="E88" s="131">
        <v>1063300</v>
      </c>
    </row>
    <row r="89" spans="1:5">
      <c r="A89" s="137" t="s">
        <v>627</v>
      </c>
      <c r="B89" s="133">
        <v>6035.6</v>
      </c>
      <c r="C89" s="133">
        <v>10000</v>
      </c>
      <c r="D89" s="131">
        <v>16035.6</v>
      </c>
      <c r="E89" s="131">
        <v>160356000</v>
      </c>
    </row>
    <row r="90" spans="1:5">
      <c r="A90" s="137" t="s">
        <v>628</v>
      </c>
      <c r="B90" s="133">
        <v>1692.5</v>
      </c>
      <c r="C90" s="140">
        <v>40</v>
      </c>
      <c r="D90" s="131">
        <v>1732.5</v>
      </c>
      <c r="E90" s="131">
        <v>17325000</v>
      </c>
    </row>
    <row r="91" spans="1:5">
      <c r="A91" s="137" t="s">
        <v>629</v>
      </c>
      <c r="B91" s="133">
        <v>431.29</v>
      </c>
      <c r="C91" s="133">
        <v>600</v>
      </c>
      <c r="D91" s="131">
        <v>1031.29</v>
      </c>
      <c r="E91" s="131">
        <v>10312900</v>
      </c>
    </row>
    <row r="92" spans="1:5">
      <c r="A92" s="137" t="s">
        <v>630</v>
      </c>
      <c r="B92" s="133">
        <v>109.18</v>
      </c>
      <c r="C92" s="133">
        <v>200</v>
      </c>
      <c r="D92" s="131">
        <v>309.18</v>
      </c>
      <c r="E92" s="131">
        <v>3091800</v>
      </c>
    </row>
    <row r="93" spans="1:5">
      <c r="A93" s="137" t="s">
        <v>89</v>
      </c>
      <c r="B93" s="133">
        <v>81.388999999999996</v>
      </c>
      <c r="C93" s="133">
        <v>4000</v>
      </c>
      <c r="D93" s="131">
        <v>4081.3890000000001</v>
      </c>
      <c r="E93" s="131">
        <v>40813890</v>
      </c>
    </row>
    <row r="94" spans="1:5">
      <c r="A94" s="137" t="s">
        <v>42</v>
      </c>
      <c r="B94" s="133">
        <v>134.13999999999999</v>
      </c>
      <c r="C94" s="133">
        <v>175</v>
      </c>
      <c r="D94" s="131">
        <v>309.14</v>
      </c>
      <c r="E94" s="131">
        <v>3091400</v>
      </c>
    </row>
    <row r="95" spans="1:5">
      <c r="A95" s="137" t="s">
        <v>631</v>
      </c>
      <c r="B95" s="133">
        <v>12.865</v>
      </c>
      <c r="C95" s="133"/>
      <c r="D95" s="131">
        <v>12.865</v>
      </c>
      <c r="E95" s="131">
        <v>128650</v>
      </c>
    </row>
    <row r="96" spans="1:5">
      <c r="A96" s="137" t="s">
        <v>53</v>
      </c>
      <c r="B96" s="133">
        <v>1560</v>
      </c>
      <c r="C96" s="133">
        <v>625</v>
      </c>
      <c r="D96" s="131">
        <v>2185</v>
      </c>
      <c r="E96" s="131">
        <v>21850000</v>
      </c>
    </row>
    <row r="97" spans="1:5">
      <c r="A97" s="137" t="s">
        <v>632</v>
      </c>
      <c r="B97" s="133">
        <v>9.9461999999999993</v>
      </c>
      <c r="C97" s="133"/>
      <c r="D97" s="131">
        <v>9.9461999999999993</v>
      </c>
      <c r="E97" s="131">
        <v>99462</v>
      </c>
    </row>
    <row r="98" spans="1:5">
      <c r="A98" s="137" t="s">
        <v>633</v>
      </c>
      <c r="B98" s="133">
        <v>94</v>
      </c>
      <c r="C98" s="133"/>
      <c r="D98" s="131">
        <v>94</v>
      </c>
      <c r="E98" s="131">
        <v>940000</v>
      </c>
    </row>
    <row r="99" spans="1:5">
      <c r="A99" s="137" t="s">
        <v>90</v>
      </c>
      <c r="B99" s="133">
        <v>1009.3</v>
      </c>
      <c r="C99" s="133">
        <v>3750</v>
      </c>
      <c r="D99" s="131">
        <v>4759.3</v>
      </c>
      <c r="E99" s="131">
        <v>47593000</v>
      </c>
    </row>
    <row r="100" spans="1:5">
      <c r="A100" s="137" t="s">
        <v>634</v>
      </c>
      <c r="B100" s="133">
        <v>157.97999999999999</v>
      </c>
      <c r="C100" s="133"/>
      <c r="D100" s="131">
        <v>157.97999999999999</v>
      </c>
      <c r="E100" s="131">
        <v>1579800</v>
      </c>
    </row>
    <row r="101" spans="1:5">
      <c r="A101" s="137" t="s">
        <v>635</v>
      </c>
      <c r="B101" s="133">
        <v>11.329000000000001</v>
      </c>
      <c r="C101" s="133">
        <v>20</v>
      </c>
      <c r="D101" s="131">
        <v>31.329000000000001</v>
      </c>
      <c r="E101" s="131">
        <v>313290</v>
      </c>
    </row>
    <row r="102" spans="1:5">
      <c r="A102" s="137" t="s">
        <v>81</v>
      </c>
      <c r="B102" s="133">
        <v>615.1</v>
      </c>
      <c r="C102" s="133">
        <v>650</v>
      </c>
      <c r="D102" s="131">
        <v>1265.0999999999999</v>
      </c>
      <c r="E102" s="131">
        <v>12651000</v>
      </c>
    </row>
    <row r="103" spans="1:5">
      <c r="A103" s="137" t="s">
        <v>636</v>
      </c>
      <c r="B103" s="133">
        <v>359.21</v>
      </c>
      <c r="C103" s="133"/>
      <c r="D103" s="131">
        <v>359.21</v>
      </c>
      <c r="E103" s="131">
        <v>3592100</v>
      </c>
    </row>
    <row r="104" spans="1:5">
      <c r="A104" s="137" t="s">
        <v>637</v>
      </c>
      <c r="B104" s="133">
        <v>12.696999999999999</v>
      </c>
      <c r="C104" s="133">
        <v>0</v>
      </c>
      <c r="D104" s="131">
        <v>12.696999999999999</v>
      </c>
      <c r="E104" s="131">
        <v>126970</v>
      </c>
    </row>
    <row r="105" spans="1:5">
      <c r="A105" s="137" t="s">
        <v>638</v>
      </c>
      <c r="B105" s="133">
        <v>43.710999999999999</v>
      </c>
      <c r="C105" s="133">
        <v>2</v>
      </c>
      <c r="D105" s="131">
        <v>45.710999999999999</v>
      </c>
      <c r="E105" s="131">
        <v>457110</v>
      </c>
    </row>
    <row r="106" spans="1:5">
      <c r="A106" s="137" t="s">
        <v>639</v>
      </c>
      <c r="B106" s="133">
        <v>1.411</v>
      </c>
      <c r="C106" s="134"/>
      <c r="D106" s="131">
        <v>1.411</v>
      </c>
      <c r="E106" s="131">
        <v>14110</v>
      </c>
    </row>
    <row r="107" spans="1:5">
      <c r="A107" s="137" t="s">
        <v>640</v>
      </c>
      <c r="B107" s="133">
        <v>1.8532</v>
      </c>
      <c r="C107" s="133">
        <v>0</v>
      </c>
      <c r="D107" s="131">
        <v>1.8532</v>
      </c>
      <c r="E107" s="131">
        <v>18532</v>
      </c>
    </row>
    <row r="108" spans="1:5">
      <c r="A108" s="137" t="s">
        <v>59</v>
      </c>
      <c r="B108" s="133">
        <v>7586.4</v>
      </c>
      <c r="C108" s="133">
        <v>1</v>
      </c>
      <c r="D108" s="131">
        <v>7587.4</v>
      </c>
      <c r="E108" s="131">
        <v>75874000</v>
      </c>
    </row>
    <row r="109" spans="1:5">
      <c r="A109" s="137" t="s">
        <v>641</v>
      </c>
      <c r="B109" s="133">
        <v>7.0865999999999998</v>
      </c>
      <c r="C109" s="133"/>
      <c r="D109" s="131">
        <v>7.0865999999999998</v>
      </c>
      <c r="E109" s="131">
        <v>70866</v>
      </c>
    </row>
    <row r="110" spans="1:5">
      <c r="A110" s="137" t="s">
        <v>642</v>
      </c>
      <c r="B110" s="133">
        <v>5.6947000000000001</v>
      </c>
      <c r="C110" s="133">
        <v>0</v>
      </c>
      <c r="D110" s="131">
        <v>5.6947000000000001</v>
      </c>
      <c r="E110" s="131">
        <v>56947</v>
      </c>
    </row>
    <row r="111" spans="1:5">
      <c r="A111" s="137" t="s">
        <v>643</v>
      </c>
      <c r="B111" s="133">
        <v>51.83</v>
      </c>
      <c r="C111" s="134"/>
      <c r="D111" s="131">
        <v>51.83</v>
      </c>
      <c r="E111" s="131">
        <v>518300</v>
      </c>
    </row>
    <row r="112" spans="1:5">
      <c r="A112" s="132" t="s">
        <v>587</v>
      </c>
      <c r="B112" s="133">
        <v>1.3954</v>
      </c>
      <c r="C112" s="134"/>
      <c r="D112" s="131">
        <v>1.3954</v>
      </c>
      <c r="E112" s="131">
        <v>13954</v>
      </c>
    </row>
    <row r="113" spans="1:5">
      <c r="A113" s="132" t="s">
        <v>644</v>
      </c>
      <c r="B113" s="133">
        <v>16.103000000000002</v>
      </c>
      <c r="C113" s="133">
        <v>2</v>
      </c>
      <c r="D113" s="131">
        <v>18.103000000000002</v>
      </c>
      <c r="E113" s="131">
        <v>181030</v>
      </c>
    </row>
    <row r="114" spans="1:5">
      <c r="A114" s="132" t="s">
        <v>23</v>
      </c>
      <c r="B114" s="133">
        <v>173.78</v>
      </c>
      <c r="C114" s="133">
        <v>6</v>
      </c>
      <c r="D114" s="131">
        <v>179.78</v>
      </c>
      <c r="E114" s="131">
        <v>1797800</v>
      </c>
    </row>
    <row r="115" spans="1:5">
      <c r="A115" s="132" t="s">
        <v>645</v>
      </c>
      <c r="B115" s="133">
        <v>33.478999999999999</v>
      </c>
      <c r="C115" s="134"/>
      <c r="D115" s="131">
        <v>33.478999999999999</v>
      </c>
      <c r="E115" s="131">
        <v>334790</v>
      </c>
    </row>
    <row r="116" spans="1:5">
      <c r="A116" s="132" t="s">
        <v>646</v>
      </c>
      <c r="B116" s="133">
        <v>4.3335999999999997</v>
      </c>
      <c r="C116" s="133">
        <v>0</v>
      </c>
      <c r="D116" s="131">
        <v>4.3335999999999997</v>
      </c>
      <c r="E116" s="131">
        <v>43336</v>
      </c>
    </row>
    <row r="117" spans="1:5">
      <c r="A117" s="132" t="s">
        <v>647</v>
      </c>
      <c r="B117" s="133">
        <v>10.43</v>
      </c>
      <c r="C117" s="133"/>
      <c r="D117" s="131">
        <v>10.43</v>
      </c>
      <c r="E117" s="131">
        <v>104300</v>
      </c>
    </row>
    <row r="118" spans="1:5">
      <c r="A118" s="132" t="s">
        <v>648</v>
      </c>
      <c r="B118" s="133">
        <v>224.02</v>
      </c>
      <c r="C118" s="133"/>
      <c r="D118" s="131">
        <v>224.02</v>
      </c>
      <c r="E118" s="131">
        <v>2240200</v>
      </c>
    </row>
    <row r="119" spans="1:5">
      <c r="A119" s="132" t="s">
        <v>649</v>
      </c>
      <c r="B119" s="133">
        <v>3157.2</v>
      </c>
      <c r="C119" s="133">
        <v>0</v>
      </c>
      <c r="D119" s="131">
        <v>3157.2</v>
      </c>
      <c r="E119" s="131">
        <v>31572000</v>
      </c>
    </row>
    <row r="120" spans="1:5">
      <c r="A120" s="132" t="s">
        <v>650</v>
      </c>
      <c r="B120" s="133">
        <v>124.75</v>
      </c>
      <c r="C120" s="133"/>
      <c r="D120" s="131">
        <v>124.75</v>
      </c>
      <c r="E120" s="131">
        <v>1247500</v>
      </c>
    </row>
    <row r="121" spans="1:5">
      <c r="A121" s="132" t="s">
        <v>62</v>
      </c>
      <c r="B121" s="133">
        <v>1804.3</v>
      </c>
      <c r="C121" s="133">
        <v>400</v>
      </c>
      <c r="D121" s="131">
        <v>2204.3000000000002</v>
      </c>
      <c r="E121" s="131">
        <v>22043000</v>
      </c>
    </row>
    <row r="122" spans="1:5">
      <c r="A122" s="132" t="s">
        <v>651</v>
      </c>
      <c r="B122" s="133">
        <v>156.49</v>
      </c>
      <c r="C122" s="133">
        <v>400</v>
      </c>
      <c r="D122" s="131">
        <v>556.49</v>
      </c>
      <c r="E122" s="131">
        <v>5564900</v>
      </c>
    </row>
    <row r="123" spans="1:5">
      <c r="A123" s="132" t="s">
        <v>652</v>
      </c>
      <c r="B123" s="133">
        <v>20.370999999999999</v>
      </c>
      <c r="C123" s="133"/>
      <c r="D123" s="131">
        <v>20.370999999999999</v>
      </c>
      <c r="E123" s="131">
        <v>203710</v>
      </c>
    </row>
    <row r="124" spans="1:5">
      <c r="A124" s="132" t="s">
        <v>40</v>
      </c>
      <c r="B124" s="133">
        <v>665.4</v>
      </c>
      <c r="C124" s="134"/>
      <c r="D124" s="131">
        <v>665.4</v>
      </c>
      <c r="E124" s="131">
        <v>6654000</v>
      </c>
    </row>
    <row r="125" spans="1:5">
      <c r="A125" s="132" t="s">
        <v>653</v>
      </c>
      <c r="B125" s="133">
        <v>38.357999999999997</v>
      </c>
      <c r="C125" s="133">
        <v>40</v>
      </c>
      <c r="D125" s="131">
        <v>78.358000000000004</v>
      </c>
      <c r="E125" s="131">
        <v>783580</v>
      </c>
    </row>
    <row r="126" spans="1:5">
      <c r="A126" s="132" t="s">
        <v>654</v>
      </c>
      <c r="B126" s="133">
        <v>21.73</v>
      </c>
      <c r="C126" s="134"/>
      <c r="D126" s="131">
        <v>21.73</v>
      </c>
      <c r="E126" s="131">
        <v>217300</v>
      </c>
    </row>
    <row r="127" spans="1:5">
      <c r="A127" s="132" t="s">
        <v>51</v>
      </c>
      <c r="B127" s="133">
        <v>327.95</v>
      </c>
      <c r="C127" s="133">
        <v>0</v>
      </c>
      <c r="D127" s="131">
        <v>327.95</v>
      </c>
      <c r="E127" s="131">
        <v>3279500</v>
      </c>
    </row>
    <row r="128" spans="1:5">
      <c r="A128" s="132" t="s">
        <v>655</v>
      </c>
      <c r="B128" s="133">
        <v>193.68</v>
      </c>
      <c r="C128" s="133">
        <v>50</v>
      </c>
      <c r="D128" s="131">
        <v>243.68</v>
      </c>
      <c r="E128" s="131">
        <v>2436800</v>
      </c>
    </row>
    <row r="129" spans="1:5">
      <c r="A129" s="132" t="s">
        <v>656</v>
      </c>
      <c r="B129" s="133">
        <v>38.582000000000001</v>
      </c>
      <c r="C129" s="133"/>
      <c r="D129" s="131">
        <v>38.582000000000001</v>
      </c>
      <c r="E129" s="131">
        <v>385820</v>
      </c>
    </row>
    <row r="130" spans="1:5">
      <c r="A130" s="132" t="s">
        <v>657</v>
      </c>
      <c r="B130" s="133">
        <v>180.91</v>
      </c>
      <c r="C130" s="133">
        <v>2000</v>
      </c>
      <c r="D130" s="131">
        <v>2180.91</v>
      </c>
      <c r="E130" s="131">
        <v>21809100</v>
      </c>
    </row>
    <row r="131" spans="1:5">
      <c r="A131" s="141" t="s">
        <v>658</v>
      </c>
      <c r="B131" s="133">
        <v>121.37</v>
      </c>
      <c r="C131" s="133">
        <v>0.25</v>
      </c>
      <c r="D131" s="131">
        <v>121.62</v>
      </c>
      <c r="E131" s="131">
        <v>1216200</v>
      </c>
    </row>
    <row r="132" spans="1:5">
      <c r="A132" s="132" t="s">
        <v>659</v>
      </c>
      <c r="B132" s="133">
        <v>2984.9</v>
      </c>
      <c r="C132" s="133">
        <v>500</v>
      </c>
      <c r="D132" s="131">
        <v>3484.9</v>
      </c>
      <c r="E132" s="131">
        <v>34849000</v>
      </c>
    </row>
    <row r="133" spans="1:5">
      <c r="A133" s="132" t="s">
        <v>83</v>
      </c>
      <c r="B133" s="133">
        <v>474.94</v>
      </c>
      <c r="C133" s="133">
        <v>5</v>
      </c>
      <c r="D133" s="131">
        <v>479.94</v>
      </c>
      <c r="E133" s="131">
        <v>4799400</v>
      </c>
    </row>
    <row r="134" spans="1:5">
      <c r="A134" s="132" t="s">
        <v>660</v>
      </c>
      <c r="B134" s="133">
        <v>146.88999999999999</v>
      </c>
      <c r="C134" s="133">
        <v>50</v>
      </c>
      <c r="D134" s="131">
        <v>196.89</v>
      </c>
      <c r="E134" s="131">
        <v>1968900</v>
      </c>
    </row>
    <row r="135" spans="1:5">
      <c r="A135" s="142" t="s">
        <v>661</v>
      </c>
      <c r="B135" s="133">
        <v>284.41000000000003</v>
      </c>
      <c r="C135" s="133">
        <v>5000</v>
      </c>
      <c r="D135" s="131">
        <v>5284.41</v>
      </c>
      <c r="E135" s="131">
        <v>52844100</v>
      </c>
    </row>
    <row r="136" spans="1:5">
      <c r="A136" s="132" t="s">
        <v>662</v>
      </c>
      <c r="B136" s="133">
        <v>46</v>
      </c>
      <c r="C136" s="133">
        <v>18</v>
      </c>
      <c r="D136" s="131">
        <v>64</v>
      </c>
      <c r="E136" s="131">
        <v>640000</v>
      </c>
    </row>
    <row r="137" spans="1:5">
      <c r="A137" s="132" t="s">
        <v>663</v>
      </c>
      <c r="B137" s="133">
        <v>2</v>
      </c>
      <c r="C137" s="133">
        <v>100</v>
      </c>
      <c r="D137" s="131">
        <v>102</v>
      </c>
      <c r="E137" s="131">
        <v>1020000</v>
      </c>
    </row>
    <row r="138" spans="1:5">
      <c r="A138" s="132" t="s">
        <v>664</v>
      </c>
      <c r="B138" s="133">
        <v>56.515000000000001</v>
      </c>
      <c r="C138" s="133"/>
      <c r="D138" s="131">
        <v>56.515000000000001</v>
      </c>
      <c r="E138" s="131">
        <v>565150</v>
      </c>
    </row>
    <row r="139" spans="1:5">
      <c r="A139" s="141" t="s">
        <v>665</v>
      </c>
      <c r="B139" s="133">
        <v>4.2140000000000004</v>
      </c>
      <c r="C139" s="133"/>
      <c r="D139" s="131">
        <v>4.2140000000000004</v>
      </c>
      <c r="E139" s="131">
        <v>42140</v>
      </c>
    </row>
    <row r="140" spans="1:5">
      <c r="A140" s="132" t="s">
        <v>666</v>
      </c>
      <c r="B140" s="133">
        <v>74</v>
      </c>
      <c r="C140" s="133">
        <v>50</v>
      </c>
      <c r="D140" s="131">
        <v>124</v>
      </c>
      <c r="E140" s="131">
        <v>1240000</v>
      </c>
    </row>
    <row r="141" spans="1:5">
      <c r="A141" s="132" t="s">
        <v>667</v>
      </c>
      <c r="B141" s="133">
        <v>59</v>
      </c>
      <c r="C141" s="133"/>
      <c r="D141" s="131">
        <v>59</v>
      </c>
      <c r="E141" s="131">
        <v>590000</v>
      </c>
    </row>
    <row r="142" spans="1:5">
      <c r="A142" s="142" t="s">
        <v>668</v>
      </c>
      <c r="B142" s="133">
        <v>71.459000000000003</v>
      </c>
      <c r="C142" s="133"/>
      <c r="D142" s="131">
        <v>71.459000000000003</v>
      </c>
      <c r="E142" s="131">
        <v>714590</v>
      </c>
    </row>
    <row r="143" spans="1:5">
      <c r="A143" s="132" t="s">
        <v>669</v>
      </c>
      <c r="B143" s="133">
        <v>41.561999999999998</v>
      </c>
      <c r="C143" s="133">
        <v>5</v>
      </c>
      <c r="D143" s="131">
        <v>46.561999999999998</v>
      </c>
      <c r="E143" s="131">
        <v>465620</v>
      </c>
    </row>
    <row r="144" spans="1:5">
      <c r="A144" s="142" t="s">
        <v>670</v>
      </c>
      <c r="B144" s="133">
        <v>254.29</v>
      </c>
      <c r="C144" s="133"/>
      <c r="D144" s="131">
        <v>254.29</v>
      </c>
      <c r="E144" s="131">
        <v>2542900</v>
      </c>
    </row>
    <row r="145" spans="1:5">
      <c r="A145" s="142" t="s">
        <v>671</v>
      </c>
      <c r="B145" s="133">
        <v>1181.5</v>
      </c>
      <c r="C145" s="133">
        <v>25</v>
      </c>
      <c r="D145" s="131">
        <v>1206.5</v>
      </c>
      <c r="E145" s="131">
        <v>12065000</v>
      </c>
    </row>
    <row r="146" spans="1:5">
      <c r="A146" s="141" t="s">
        <v>672</v>
      </c>
      <c r="B146" s="133">
        <v>2250.6999999999998</v>
      </c>
      <c r="C146" s="133">
        <v>2500</v>
      </c>
      <c r="D146" s="131">
        <v>4750.7</v>
      </c>
      <c r="E146" s="131">
        <v>47507000</v>
      </c>
    </row>
    <row r="147" spans="1:5">
      <c r="A147" s="142" t="s">
        <v>673</v>
      </c>
      <c r="B147" s="133">
        <v>143.4</v>
      </c>
      <c r="C147" s="133"/>
      <c r="D147" s="131">
        <v>143.4</v>
      </c>
      <c r="E147" s="131">
        <v>1434000</v>
      </c>
    </row>
    <row r="148" spans="1:5">
      <c r="A148" s="132" t="s">
        <v>674</v>
      </c>
      <c r="B148" s="133">
        <v>300</v>
      </c>
      <c r="C148" s="133"/>
      <c r="D148" s="131">
        <v>300</v>
      </c>
      <c r="E148" s="131">
        <v>3000000</v>
      </c>
    </row>
    <row r="149" spans="1:5">
      <c r="A149" s="141" t="s">
        <v>675</v>
      </c>
      <c r="B149" s="133">
        <v>4.7111999999999998</v>
      </c>
      <c r="C149" s="133">
        <v>1000</v>
      </c>
      <c r="D149" s="131">
        <v>1004.7112</v>
      </c>
      <c r="E149" s="131">
        <v>10047112</v>
      </c>
    </row>
    <row r="150" spans="1:5">
      <c r="A150" s="142" t="s">
        <v>676</v>
      </c>
      <c r="B150" s="133">
        <v>6.7107000000000001</v>
      </c>
      <c r="C150" s="133">
        <v>100</v>
      </c>
      <c r="D150" s="131">
        <v>106.7107</v>
      </c>
      <c r="E150" s="131">
        <v>1067107</v>
      </c>
    </row>
    <row r="151" spans="1:5">
      <c r="A151" s="142" t="s">
        <v>677</v>
      </c>
      <c r="B151" s="133">
        <v>30.106000000000002</v>
      </c>
      <c r="C151" s="133"/>
      <c r="D151" s="131">
        <v>30.106000000000002</v>
      </c>
      <c r="E151" s="131">
        <v>301060</v>
      </c>
    </row>
    <row r="152" spans="1:5">
      <c r="A152" s="142" t="s">
        <v>678</v>
      </c>
      <c r="B152" s="133">
        <v>87.447999999999993</v>
      </c>
      <c r="C152" s="133"/>
      <c r="D152" s="131">
        <v>87.447999999999993</v>
      </c>
      <c r="E152" s="131">
        <v>874480</v>
      </c>
    </row>
    <row r="153" spans="1:5">
      <c r="A153" s="142" t="s">
        <v>679</v>
      </c>
      <c r="B153" s="133">
        <v>19.042000000000002</v>
      </c>
      <c r="C153" s="133"/>
      <c r="D153" s="131">
        <v>19.042000000000002</v>
      </c>
      <c r="E153" s="131">
        <v>190420</v>
      </c>
    </row>
    <row r="154" spans="1:5">
      <c r="A154" s="143"/>
      <c r="B154" s="144"/>
      <c r="C154" s="145"/>
      <c r="D154" s="145"/>
    </row>
    <row r="155" spans="1:5">
      <c r="A155" s="143"/>
      <c r="B155" s="144"/>
      <c r="C155" s="145"/>
      <c r="D155" s="145"/>
    </row>
    <row r="156" spans="1:5">
      <c r="A156" s="143"/>
      <c r="B156" s="144"/>
      <c r="C156" s="145"/>
      <c r="D156" s="145"/>
    </row>
    <row r="157" spans="1:5">
      <c r="A157" s="143"/>
      <c r="B157" s="144"/>
      <c r="C157" s="145"/>
      <c r="D157" s="145"/>
    </row>
    <row r="158" spans="1:5">
      <c r="A158" s="143"/>
      <c r="B158" s="144"/>
      <c r="C158" s="145"/>
      <c r="D158" s="145"/>
    </row>
    <row r="159" spans="1:5">
      <c r="A159" s="143"/>
      <c r="B159" s="144"/>
      <c r="C159" s="145"/>
      <c r="D159" s="145"/>
    </row>
    <row r="160" spans="1:5">
      <c r="A160" s="143"/>
      <c r="B160" s="144"/>
      <c r="C160" s="145"/>
      <c r="D160" s="145"/>
    </row>
    <row r="161" spans="1:4">
      <c r="A161" s="143"/>
      <c r="B161" s="144"/>
      <c r="C161" s="145"/>
      <c r="D161" s="145"/>
    </row>
    <row r="162" spans="1:4">
      <c r="A162" s="143"/>
      <c r="B162" s="144"/>
      <c r="C162" s="145"/>
      <c r="D162" s="145"/>
    </row>
    <row r="163" spans="1:4">
      <c r="A163" s="143"/>
      <c r="B163" s="144"/>
      <c r="C163" s="145"/>
      <c r="D163" s="145"/>
    </row>
    <row r="164" spans="1:4">
      <c r="A164" s="143"/>
      <c r="B164" s="144"/>
      <c r="C164" s="145"/>
      <c r="D164" s="145"/>
    </row>
    <row r="165" spans="1:4">
      <c r="A165" s="143"/>
      <c r="B165" s="144"/>
      <c r="C165" s="145"/>
      <c r="D165" s="145"/>
    </row>
    <row r="166" spans="1:4">
      <c r="A166" s="143"/>
      <c r="B166" s="144"/>
      <c r="C166" s="145"/>
      <c r="D166" s="145"/>
    </row>
    <row r="167" spans="1:4">
      <c r="A167" s="143"/>
      <c r="B167" s="144"/>
      <c r="C167" s="145"/>
      <c r="D167" s="145"/>
    </row>
    <row r="168" spans="1:4">
      <c r="A168" s="143"/>
      <c r="B168" s="144"/>
      <c r="C168" s="145"/>
      <c r="D168" s="145"/>
    </row>
    <row r="169" spans="1:4">
      <c r="A169" s="143"/>
      <c r="B169" s="144"/>
      <c r="C169" s="145"/>
      <c r="D169" s="145"/>
    </row>
    <row r="170" spans="1:4">
      <c r="A170" s="143"/>
      <c r="B170" s="144"/>
      <c r="C170" s="145"/>
      <c r="D170" s="145"/>
    </row>
    <row r="171" spans="1:4">
      <c r="A171" s="143"/>
      <c r="B171" s="144"/>
      <c r="C171" s="145"/>
      <c r="D171" s="145"/>
    </row>
    <row r="172" spans="1:4">
      <c r="A172" s="143"/>
      <c r="B172" s="144"/>
      <c r="C172" s="145"/>
      <c r="D172" s="145"/>
    </row>
    <row r="173" spans="1:4">
      <c r="A173" s="143"/>
      <c r="B173" s="144"/>
      <c r="C173" s="145"/>
      <c r="D173" s="145"/>
    </row>
    <row r="174" spans="1:4">
      <c r="A174" s="143"/>
      <c r="B174" s="144"/>
      <c r="C174" s="145"/>
      <c r="D174" s="145"/>
    </row>
    <row r="175" spans="1:4">
      <c r="A175" s="143"/>
      <c r="B175" s="144"/>
      <c r="C175" s="145"/>
      <c r="D175" s="145"/>
    </row>
    <row r="176" spans="1:4">
      <c r="A176" s="143"/>
      <c r="B176" s="144"/>
      <c r="C176" s="145"/>
      <c r="D176" s="145"/>
    </row>
    <row r="177" spans="1:4">
      <c r="A177" s="143"/>
      <c r="B177" s="144"/>
      <c r="C177" s="145"/>
      <c r="D177" s="145"/>
    </row>
    <row r="178" spans="1:4">
      <c r="A178" s="143"/>
      <c r="B178" s="144"/>
      <c r="C178" s="145"/>
      <c r="D178" s="145"/>
    </row>
    <row r="179" spans="1:4">
      <c r="A179" s="143"/>
      <c r="B179" s="144"/>
      <c r="C179" s="145"/>
      <c r="D179" s="145"/>
    </row>
    <row r="180" spans="1:4">
      <c r="A180" s="143"/>
      <c r="B180" s="144"/>
      <c r="C180" s="145"/>
      <c r="D180" s="145"/>
    </row>
    <row r="181" spans="1:4">
      <c r="A181" s="143"/>
      <c r="B181" s="144"/>
      <c r="C181" s="145"/>
      <c r="D181" s="145"/>
    </row>
    <row r="182" spans="1:4">
      <c r="A182" s="143"/>
      <c r="B182" s="144"/>
      <c r="C182" s="145"/>
      <c r="D182" s="145"/>
    </row>
    <row r="183" spans="1:4">
      <c r="A183" s="143"/>
      <c r="B183" s="144"/>
      <c r="C183" s="145"/>
      <c r="D183" s="145"/>
    </row>
    <row r="184" spans="1:4">
      <c r="A184" s="143"/>
      <c r="B184" s="144"/>
      <c r="C184" s="145"/>
      <c r="D184" s="145"/>
    </row>
    <row r="185" spans="1:4">
      <c r="A185" s="143"/>
      <c r="B185" s="144"/>
      <c r="C185" s="145"/>
      <c r="D185" s="145"/>
    </row>
    <row r="186" spans="1:4">
      <c r="A186" s="143"/>
      <c r="B186" s="144"/>
      <c r="C186" s="145"/>
      <c r="D186" s="145"/>
    </row>
    <row r="187" spans="1:4">
      <c r="A187" s="143"/>
      <c r="B187" s="144"/>
      <c r="C187" s="145"/>
      <c r="D187" s="145"/>
    </row>
    <row r="188" spans="1:4">
      <c r="A188" s="143"/>
      <c r="B188" s="144"/>
      <c r="C188" s="145"/>
      <c r="D188" s="145"/>
    </row>
    <row r="189" spans="1:4">
      <c r="A189" s="143"/>
      <c r="B189" s="144"/>
      <c r="C189" s="145"/>
      <c r="D189" s="145"/>
    </row>
    <row r="190" spans="1:4">
      <c r="A190" s="143"/>
      <c r="B190" s="144"/>
      <c r="C190" s="145"/>
      <c r="D190" s="145"/>
    </row>
    <row r="191" spans="1:4">
      <c r="A191" s="143"/>
      <c r="B191" s="144"/>
      <c r="C191" s="145"/>
      <c r="D191" s="145"/>
    </row>
    <row r="192" spans="1:4">
      <c r="A192" s="143"/>
      <c r="B192" s="144"/>
      <c r="C192" s="145"/>
      <c r="D192" s="145"/>
    </row>
    <row r="193" spans="1:4">
      <c r="A193" s="143"/>
      <c r="B193" s="144"/>
      <c r="C193" s="145"/>
      <c r="D193" s="145"/>
    </row>
    <row r="194" spans="1:4">
      <c r="A194" s="143"/>
      <c r="B194" s="144"/>
      <c r="C194" s="145"/>
      <c r="D194" s="145"/>
    </row>
    <row r="195" spans="1:4">
      <c r="A195" s="143"/>
      <c r="B195" s="144"/>
      <c r="C195" s="145"/>
      <c r="D195" s="145"/>
    </row>
    <row r="196" spans="1:4">
      <c r="A196" s="143"/>
      <c r="B196" s="144"/>
      <c r="C196" s="145"/>
      <c r="D196" s="145"/>
    </row>
    <row r="197" spans="1:4">
      <c r="A197" s="143"/>
      <c r="B197" s="144"/>
      <c r="C197" s="145"/>
      <c r="D197" s="145"/>
    </row>
    <row r="198" spans="1:4">
      <c r="A198" s="143"/>
      <c r="B198" s="144"/>
      <c r="C198" s="145"/>
      <c r="D198" s="145"/>
    </row>
    <row r="199" spans="1:4">
      <c r="A199" s="143"/>
      <c r="B199" s="144"/>
      <c r="C199" s="145"/>
      <c r="D199" s="145"/>
    </row>
    <row r="200" spans="1:4">
      <c r="A200" s="145"/>
      <c r="B200" s="145"/>
      <c r="C200" s="145"/>
      <c r="D200" s="145"/>
    </row>
    <row r="201" spans="1:4">
      <c r="A201" s="145"/>
      <c r="B201" s="145"/>
      <c r="C201" s="145"/>
      <c r="D201" s="145"/>
    </row>
    <row r="202" spans="1:4">
      <c r="A202" s="145"/>
      <c r="B202" s="145"/>
      <c r="C202" s="145"/>
      <c r="D202" s="145"/>
    </row>
    <row r="203" spans="1:4">
      <c r="A203" s="145"/>
      <c r="B203" s="145"/>
      <c r="C203" s="145"/>
      <c r="D203" s="145"/>
    </row>
    <row r="204" spans="1:4">
      <c r="A204" s="145"/>
      <c r="B204" s="145"/>
      <c r="C204" s="145"/>
      <c r="D204" s="145"/>
    </row>
    <row r="205" spans="1:4">
      <c r="A205" s="145"/>
      <c r="B205" s="145"/>
      <c r="C205" s="145"/>
      <c r="D205" s="145"/>
    </row>
    <row r="206" spans="1:4">
      <c r="A206" s="145"/>
      <c r="B206" s="145"/>
      <c r="C206" s="145"/>
      <c r="D206" s="145"/>
    </row>
    <row r="207" spans="1:4">
      <c r="A207" s="145"/>
      <c r="B207" s="145"/>
      <c r="C207" s="145"/>
      <c r="D207" s="145"/>
    </row>
    <row r="208" spans="1:4">
      <c r="A208" s="146"/>
      <c r="B208" s="145"/>
      <c r="C208" s="145"/>
      <c r="D208" s="145"/>
    </row>
    <row r="209" spans="1:4">
      <c r="A209" s="145"/>
      <c r="B209" s="145"/>
      <c r="C209" s="145"/>
      <c r="D209" s="145"/>
    </row>
    <row r="210" spans="1:4">
      <c r="A210" s="145"/>
      <c r="B210" s="145"/>
      <c r="C210" s="145"/>
      <c r="D210" s="145"/>
    </row>
    <row r="211" spans="1:4">
      <c r="A211" s="145"/>
      <c r="B211" s="145"/>
      <c r="C211" s="145"/>
      <c r="D211" s="145"/>
    </row>
    <row r="212" spans="1:4">
      <c r="A212" s="145"/>
      <c r="B212" s="145"/>
      <c r="C212" s="145"/>
      <c r="D212" s="145"/>
    </row>
    <row r="213" spans="1:4">
      <c r="A213" s="145"/>
      <c r="B213" s="145"/>
      <c r="C213" s="145"/>
      <c r="D213" s="145"/>
    </row>
    <row r="214" spans="1:4">
      <c r="A214" s="145"/>
      <c r="B214" s="145"/>
      <c r="C214" s="145"/>
      <c r="D214" s="145"/>
    </row>
    <row r="215" spans="1:4">
      <c r="A215" s="145"/>
      <c r="B215" s="145"/>
      <c r="C215" s="145"/>
      <c r="D215" s="145"/>
    </row>
    <row r="216" spans="1:4">
      <c r="A216" s="145"/>
      <c r="B216" s="145"/>
      <c r="C216" s="145"/>
      <c r="D216" s="145"/>
    </row>
    <row r="217" spans="1:4">
      <c r="A217" s="145"/>
      <c r="B217" s="145"/>
      <c r="C217" s="145"/>
      <c r="D217" s="145"/>
    </row>
    <row r="218" spans="1:4">
      <c r="A218" s="145"/>
      <c r="B218" s="145"/>
      <c r="C218" s="145"/>
      <c r="D218" s="145"/>
    </row>
    <row r="219" spans="1:4">
      <c r="A219" s="145"/>
      <c r="B219" s="145"/>
      <c r="C219" s="145"/>
      <c r="D219" s="145"/>
    </row>
    <row r="220" spans="1:4">
      <c r="A220" s="145"/>
      <c r="B220" s="145"/>
      <c r="C220" s="145"/>
      <c r="D220" s="145"/>
    </row>
    <row r="221" spans="1:4">
      <c r="A221" s="145"/>
      <c r="B221" s="145"/>
      <c r="C221" s="145"/>
      <c r="D221" s="145"/>
    </row>
    <row r="222" spans="1:4">
      <c r="A222" s="145"/>
      <c r="B222" s="145"/>
      <c r="C222" s="145"/>
      <c r="D222" s="145"/>
    </row>
    <row r="223" spans="1:4">
      <c r="A223" s="145"/>
      <c r="B223" s="145"/>
      <c r="C223" s="145"/>
      <c r="D223" s="145"/>
    </row>
    <row r="224" spans="1:4">
      <c r="A224" s="145"/>
      <c r="B224" s="145"/>
      <c r="C224" s="145"/>
      <c r="D224" s="145"/>
    </row>
    <row r="225" spans="1:4">
      <c r="A225" s="145"/>
      <c r="B225" s="145"/>
      <c r="C225" s="145"/>
      <c r="D225" s="145"/>
    </row>
  </sheetData>
  <phoneticPr fontId="6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交易孵化"/>
  <dimension ref="A1:AM197"/>
  <sheetViews>
    <sheetView workbookViewId="0">
      <pane xSplit="5" ySplit="2" topLeftCell="F3" activePane="bottomRight" state="frozen"/>
      <selection pane="topRight"/>
      <selection pane="bottomLeft"/>
      <selection pane="bottomRight" activeCell="F3" sqref="F3"/>
    </sheetView>
  </sheetViews>
  <sheetFormatPr defaultColWidth="13.81640625" defaultRowHeight="18" customHeight="1"/>
  <cols>
    <col min="1" max="1" width="9.08984375" style="394" customWidth="1"/>
    <col min="2" max="2" width="17.1796875" style="394" customWidth="1"/>
    <col min="3" max="3" width="17.36328125" style="394" customWidth="1"/>
    <col min="4" max="4" width="9.1796875" style="394" customWidth="1"/>
    <col min="5" max="5" width="15.81640625" style="394" customWidth="1"/>
    <col min="6" max="6" width="12" style="394" customWidth="1"/>
    <col min="7" max="7" width="10.1796875" style="394" customWidth="1"/>
    <col min="8" max="8" width="8.36328125" style="394" customWidth="1"/>
    <col min="9" max="9" width="12" style="394" customWidth="1"/>
    <col min="10" max="10" width="10.1796875" style="394" customWidth="1"/>
    <col min="11" max="11" width="9.1796875" style="394" customWidth="1"/>
    <col min="12" max="12" width="15.81640625" style="394" customWidth="1"/>
    <col min="13" max="13" width="9.1796875" style="394" customWidth="1"/>
    <col min="14" max="14" width="4.81640625" style="394" customWidth="1"/>
    <col min="15" max="15" width="6.6328125" style="394" customWidth="1"/>
    <col min="16" max="16" width="8.36328125" style="394" customWidth="1"/>
    <col min="17" max="18" width="12" style="394" customWidth="1"/>
    <col min="19" max="19" width="18.6328125" style="394" customWidth="1"/>
    <col min="20" max="20" width="12" style="394" customWidth="1"/>
    <col min="21" max="21" width="13.1796875" style="394" customWidth="1"/>
    <col min="22" max="22" width="4.81640625" style="394" customWidth="1"/>
    <col min="23" max="39" width="13.6328125" style="394"/>
  </cols>
  <sheetData>
    <row r="1" spans="1:22">
      <c r="A1" s="421" t="s">
        <v>680</v>
      </c>
      <c r="B1" s="422"/>
      <c r="C1" s="422"/>
      <c r="D1" s="422"/>
      <c r="E1" s="425" t="s">
        <v>1546</v>
      </c>
      <c r="F1" s="426"/>
      <c r="G1" s="426"/>
      <c r="H1" s="426"/>
      <c r="I1" s="426"/>
      <c r="J1" s="426"/>
      <c r="K1" s="426"/>
      <c r="L1" s="426"/>
      <c r="M1" s="427"/>
      <c r="N1" s="426"/>
      <c r="O1" s="426"/>
      <c r="P1" s="423" t="s">
        <v>1547</v>
      </c>
      <c r="Q1" s="422"/>
      <c r="R1" s="422"/>
      <c r="S1" s="424"/>
      <c r="T1" s="424"/>
      <c r="U1" s="424"/>
      <c r="V1" s="422"/>
    </row>
    <row r="2" spans="1:22">
      <c r="A2" s="387" t="s">
        <v>682</v>
      </c>
      <c r="B2" s="390" t="s">
        <v>683</v>
      </c>
      <c r="C2" s="391" t="s">
        <v>1400</v>
      </c>
      <c r="D2" s="391" t="s">
        <v>684</v>
      </c>
      <c r="E2" s="388" t="s">
        <v>1548</v>
      </c>
      <c r="F2" s="388" t="s">
        <v>1401</v>
      </c>
      <c r="G2" s="388" t="s">
        <v>1402</v>
      </c>
      <c r="H2" s="388" t="s">
        <v>1549</v>
      </c>
      <c r="I2" s="392" t="s">
        <v>1404</v>
      </c>
      <c r="J2" s="392" t="s">
        <v>1405</v>
      </c>
      <c r="K2" s="392" t="s">
        <v>691</v>
      </c>
      <c r="L2" s="392" t="s">
        <v>692</v>
      </c>
      <c r="M2" s="392" t="s">
        <v>1550</v>
      </c>
      <c r="N2" s="392" t="s">
        <v>1406</v>
      </c>
      <c r="O2" s="392" t="s">
        <v>690</v>
      </c>
      <c r="P2" s="389" t="s">
        <v>1551</v>
      </c>
      <c r="Q2" s="389" t="s">
        <v>1552</v>
      </c>
      <c r="R2" s="389" t="s">
        <v>1553</v>
      </c>
      <c r="S2" s="393" t="s">
        <v>1554</v>
      </c>
      <c r="T2" s="393" t="s">
        <v>1555</v>
      </c>
      <c r="U2" s="393" t="s">
        <v>1556</v>
      </c>
      <c r="V2" s="389" t="s">
        <v>694</v>
      </c>
    </row>
    <row r="3" spans="1:22">
      <c r="A3" s="394" t="s">
        <v>695</v>
      </c>
      <c r="B3" s="238">
        <v>15262818</v>
      </c>
      <c r="C3" s="394" t="s">
        <v>1557</v>
      </c>
      <c r="D3" s="117">
        <v>2215641</v>
      </c>
      <c r="E3" s="394" t="s">
        <v>1558</v>
      </c>
      <c r="F3" s="395">
        <v>21000000</v>
      </c>
      <c r="G3" s="395">
        <v>20000000</v>
      </c>
      <c r="H3" s="394" t="s">
        <v>1559</v>
      </c>
      <c r="I3" s="394" t="s">
        <v>155</v>
      </c>
      <c r="J3" s="394" t="s">
        <v>155</v>
      </c>
      <c r="K3" s="394">
        <v>10623261</v>
      </c>
      <c r="L3" s="394" t="s">
        <v>1558</v>
      </c>
      <c r="M3" s="396" t="s">
        <v>1560</v>
      </c>
      <c r="N3" s="394" t="s">
        <v>91</v>
      </c>
      <c r="O3" s="397" t="s">
        <v>34</v>
      </c>
      <c r="P3" s="394" t="s">
        <v>155</v>
      </c>
      <c r="Q3" s="394" t="s">
        <v>155</v>
      </c>
      <c r="R3" s="394" t="s">
        <v>1561</v>
      </c>
      <c r="S3" s="394" t="s">
        <v>1562</v>
      </c>
      <c r="T3" s="394">
        <v>500</v>
      </c>
      <c r="U3" s="398">
        <v>46174</v>
      </c>
    </row>
    <row r="4" spans="1:22">
      <c r="A4" s="394" t="s">
        <v>695</v>
      </c>
      <c r="B4" s="238">
        <v>475443398</v>
      </c>
      <c r="C4" s="394" t="s">
        <v>886</v>
      </c>
      <c r="D4" s="117">
        <v>1057906</v>
      </c>
      <c r="E4" s="394" t="s">
        <v>1558</v>
      </c>
      <c r="F4" s="395">
        <v>21000000</v>
      </c>
      <c r="G4" s="395">
        <v>20000000</v>
      </c>
      <c r="H4" s="394" t="s">
        <v>1559</v>
      </c>
      <c r="I4" s="394" t="s">
        <v>155</v>
      </c>
      <c r="J4" s="394" t="s">
        <v>155</v>
      </c>
      <c r="K4" s="394">
        <v>10623261</v>
      </c>
      <c r="L4" s="394" t="s">
        <v>1558</v>
      </c>
      <c r="M4" s="396" t="s">
        <v>1560</v>
      </c>
      <c r="N4" s="394" t="s">
        <v>91</v>
      </c>
      <c r="O4" s="122" t="s">
        <v>34</v>
      </c>
      <c r="P4" s="394" t="s">
        <v>155</v>
      </c>
      <c r="Q4" s="394" t="s">
        <v>155</v>
      </c>
      <c r="R4" s="394" t="s">
        <v>1561</v>
      </c>
      <c r="S4" s="394" t="s">
        <v>1563</v>
      </c>
      <c r="T4" s="394">
        <v>1000</v>
      </c>
      <c r="U4" s="398">
        <v>46508</v>
      </c>
    </row>
    <row r="5" spans="1:22">
      <c r="A5" s="394" t="s">
        <v>695</v>
      </c>
      <c r="B5" s="238">
        <v>192090</v>
      </c>
      <c r="C5" s="394" t="s">
        <v>165</v>
      </c>
      <c r="D5" s="117">
        <v>2769577</v>
      </c>
      <c r="E5" s="394" t="s">
        <v>1558</v>
      </c>
      <c r="F5" s="395">
        <v>21000000</v>
      </c>
      <c r="G5" s="395">
        <v>20000000</v>
      </c>
      <c r="H5" s="394" t="s">
        <v>1559</v>
      </c>
      <c r="I5" s="394" t="s">
        <v>155</v>
      </c>
      <c r="J5" s="394" t="s">
        <v>155</v>
      </c>
      <c r="K5" s="394">
        <v>10623261</v>
      </c>
      <c r="L5" s="394" t="s">
        <v>1558</v>
      </c>
      <c r="M5" s="396" t="s">
        <v>1560</v>
      </c>
      <c r="N5" s="394" t="s">
        <v>91</v>
      </c>
      <c r="O5" s="122" t="s">
        <v>34</v>
      </c>
      <c r="P5" s="394" t="s">
        <v>155</v>
      </c>
      <c r="Q5" s="394" t="s">
        <v>155</v>
      </c>
      <c r="R5" s="394" t="s">
        <v>1561</v>
      </c>
      <c r="S5" s="394" t="s">
        <v>1564</v>
      </c>
      <c r="T5" s="394">
        <v>1000</v>
      </c>
      <c r="U5" s="398">
        <v>46235</v>
      </c>
    </row>
    <row r="6" spans="1:22">
      <c r="A6" s="394" t="s">
        <v>695</v>
      </c>
      <c r="B6" s="238">
        <v>388262063</v>
      </c>
      <c r="C6" s="394" t="s">
        <v>1565</v>
      </c>
      <c r="D6" s="117">
        <v>1297661</v>
      </c>
      <c r="E6" s="394" t="s">
        <v>1558</v>
      </c>
      <c r="F6" s="395">
        <v>21000000</v>
      </c>
      <c r="G6" s="395">
        <v>20000000</v>
      </c>
      <c r="H6" s="394" t="s">
        <v>1559</v>
      </c>
      <c r="I6" s="394" t="s">
        <v>155</v>
      </c>
      <c r="J6" s="394" t="s">
        <v>155</v>
      </c>
      <c r="K6" s="394">
        <v>10623261</v>
      </c>
      <c r="L6" s="394" t="s">
        <v>1558</v>
      </c>
      <c r="M6" s="396" t="s">
        <v>1560</v>
      </c>
      <c r="N6" s="394" t="s">
        <v>91</v>
      </c>
      <c r="O6" s="122" t="s">
        <v>34</v>
      </c>
      <c r="P6" s="394" t="s">
        <v>155</v>
      </c>
      <c r="Q6" s="394" t="s">
        <v>155</v>
      </c>
      <c r="R6" s="394" t="s">
        <v>1561</v>
      </c>
      <c r="S6" s="394" t="s">
        <v>1566</v>
      </c>
      <c r="T6" s="394">
        <v>300</v>
      </c>
      <c r="U6" s="398">
        <v>46174</v>
      </c>
    </row>
    <row r="7" spans="1:22">
      <c r="A7" s="394" t="s">
        <v>695</v>
      </c>
      <c r="B7" s="238">
        <v>17004561</v>
      </c>
      <c r="C7" s="394" t="s">
        <v>1567</v>
      </c>
      <c r="D7" s="117">
        <v>1137518</v>
      </c>
      <c r="E7" s="394" t="s">
        <v>1558</v>
      </c>
      <c r="F7" s="395">
        <v>21000000</v>
      </c>
      <c r="G7" s="395">
        <v>20000000</v>
      </c>
      <c r="H7" s="394" t="s">
        <v>1559</v>
      </c>
      <c r="I7" s="394" t="s">
        <v>155</v>
      </c>
      <c r="J7" s="394" t="s">
        <v>155</v>
      </c>
      <c r="K7" s="394">
        <v>10623261</v>
      </c>
      <c r="L7" s="394" t="s">
        <v>1558</v>
      </c>
      <c r="M7" s="396" t="s">
        <v>1560</v>
      </c>
      <c r="N7" s="394" t="s">
        <v>91</v>
      </c>
      <c r="O7" s="122" t="s">
        <v>34</v>
      </c>
      <c r="P7" s="394" t="s">
        <v>155</v>
      </c>
      <c r="Q7" s="394" t="s">
        <v>155</v>
      </c>
      <c r="R7" s="394" t="s">
        <v>1561</v>
      </c>
      <c r="S7" s="394" t="s">
        <v>1568</v>
      </c>
      <c r="T7" s="394">
        <v>500</v>
      </c>
      <c r="U7" s="399">
        <v>46327</v>
      </c>
    </row>
    <row r="8" spans="1:22">
      <c r="A8" s="394" t="s">
        <v>695</v>
      </c>
      <c r="B8" s="238">
        <v>7481602</v>
      </c>
      <c r="C8" s="394" t="s">
        <v>344</v>
      </c>
      <c r="D8" s="117">
        <v>2435985</v>
      </c>
      <c r="E8" s="394" t="s">
        <v>1558</v>
      </c>
      <c r="F8" s="395">
        <v>21000000</v>
      </c>
      <c r="G8" s="395">
        <v>20000000</v>
      </c>
      <c r="H8" s="394" t="s">
        <v>1559</v>
      </c>
      <c r="I8" s="394" t="s">
        <v>155</v>
      </c>
      <c r="J8" s="394" t="s">
        <v>155</v>
      </c>
      <c r="K8" s="394">
        <v>10623261</v>
      </c>
      <c r="L8" s="394" t="s">
        <v>1558</v>
      </c>
      <c r="M8" s="396" t="s">
        <v>1560</v>
      </c>
      <c r="N8" s="394" t="s">
        <v>91</v>
      </c>
      <c r="O8" s="122" t="s">
        <v>34</v>
      </c>
      <c r="P8" s="394" t="s">
        <v>155</v>
      </c>
      <c r="Q8" s="394" t="s">
        <v>155</v>
      </c>
      <c r="R8" s="394" t="s">
        <v>1561</v>
      </c>
      <c r="S8" s="394" t="s">
        <v>1569</v>
      </c>
      <c r="T8" s="394">
        <v>1000</v>
      </c>
      <c r="U8" s="398">
        <v>46266</v>
      </c>
    </row>
    <row r="9" spans="1:22">
      <c r="A9" s="394" t="s">
        <v>695</v>
      </c>
      <c r="B9" s="238">
        <v>703186600</v>
      </c>
      <c r="C9" s="394" t="s">
        <v>1570</v>
      </c>
      <c r="D9" s="117">
        <v>3169097</v>
      </c>
      <c r="E9" s="394" t="s">
        <v>1558</v>
      </c>
      <c r="F9" s="395">
        <v>21000000</v>
      </c>
      <c r="G9" s="395">
        <v>20000000</v>
      </c>
      <c r="H9" s="394" t="s">
        <v>1559</v>
      </c>
      <c r="I9" s="394" t="s">
        <v>155</v>
      </c>
      <c r="J9" s="394" t="s">
        <v>155</v>
      </c>
      <c r="K9" s="394">
        <v>10623261</v>
      </c>
      <c r="L9" s="394" t="s">
        <v>1558</v>
      </c>
      <c r="M9" s="396" t="s">
        <v>1560</v>
      </c>
      <c r="N9" s="394" t="s">
        <v>91</v>
      </c>
      <c r="O9" s="122" t="s">
        <v>34</v>
      </c>
      <c r="P9" s="394" t="s">
        <v>155</v>
      </c>
      <c r="Q9" s="394" t="s">
        <v>155</v>
      </c>
      <c r="R9" s="394" t="s">
        <v>1561</v>
      </c>
      <c r="S9" s="394" t="s">
        <v>1571</v>
      </c>
      <c r="T9" s="394">
        <v>500</v>
      </c>
      <c r="U9" s="398">
        <v>46357</v>
      </c>
    </row>
    <row r="10" spans="1:22">
      <c r="A10" s="394" t="s">
        <v>695</v>
      </c>
      <c r="B10" s="238">
        <v>4477242</v>
      </c>
      <c r="C10" s="400" t="s">
        <v>1572</v>
      </c>
      <c r="D10" s="117">
        <v>1150496</v>
      </c>
      <c r="E10" s="394" t="s">
        <v>1558</v>
      </c>
      <c r="F10" s="395">
        <v>21000000</v>
      </c>
      <c r="G10" s="395">
        <v>20000000</v>
      </c>
      <c r="H10" s="394" t="s">
        <v>1559</v>
      </c>
      <c r="I10" s="394" t="s">
        <v>155</v>
      </c>
      <c r="J10" s="394" t="s">
        <v>155</v>
      </c>
      <c r="K10" s="394">
        <v>10623261</v>
      </c>
      <c r="L10" s="394" t="s">
        <v>1558</v>
      </c>
      <c r="M10" s="396" t="s">
        <v>1560</v>
      </c>
      <c r="N10" s="394" t="s">
        <v>91</v>
      </c>
      <c r="O10" s="122" t="s">
        <v>34</v>
      </c>
      <c r="P10" s="394" t="s">
        <v>155</v>
      </c>
      <c r="Q10" s="394" t="s">
        <v>155</v>
      </c>
      <c r="R10" s="394" t="s">
        <v>1561</v>
      </c>
      <c r="S10" s="394" t="s">
        <v>1573</v>
      </c>
      <c r="T10" s="394">
        <v>1000</v>
      </c>
      <c r="U10" s="398">
        <v>46388</v>
      </c>
    </row>
    <row r="11" spans="1:22">
      <c r="A11" s="394" t="s">
        <v>695</v>
      </c>
      <c r="B11" s="238">
        <v>369564778</v>
      </c>
      <c r="C11" s="394" t="s">
        <v>1574</v>
      </c>
      <c r="D11" s="117">
        <v>1011192</v>
      </c>
      <c r="E11" s="394" t="s">
        <v>1558</v>
      </c>
      <c r="F11" s="395">
        <v>21000000</v>
      </c>
      <c r="G11" s="395">
        <v>20000000</v>
      </c>
      <c r="H11" s="394" t="s">
        <v>1559</v>
      </c>
      <c r="I11" s="394" t="s">
        <v>155</v>
      </c>
      <c r="J11" s="394" t="s">
        <v>155</v>
      </c>
      <c r="K11" s="394">
        <v>10623261</v>
      </c>
      <c r="L11" s="394" t="s">
        <v>1558</v>
      </c>
      <c r="M11" s="396" t="s">
        <v>1560</v>
      </c>
      <c r="N11" s="394" t="s">
        <v>91</v>
      </c>
      <c r="O11" s="122" t="s">
        <v>34</v>
      </c>
      <c r="P11" s="394" t="s">
        <v>155</v>
      </c>
      <c r="Q11" s="394" t="s">
        <v>155</v>
      </c>
      <c r="R11" s="394" t="s">
        <v>1561</v>
      </c>
      <c r="S11" s="394" t="s">
        <v>1575</v>
      </c>
      <c r="T11" s="394">
        <v>1000</v>
      </c>
      <c r="U11" s="398">
        <v>46419</v>
      </c>
    </row>
    <row r="12" spans="1:22">
      <c r="A12" s="394" t="s">
        <v>695</v>
      </c>
      <c r="B12" s="238">
        <v>485356818</v>
      </c>
      <c r="C12" s="394" t="s">
        <v>1576</v>
      </c>
      <c r="D12" s="117">
        <v>949759</v>
      </c>
      <c r="E12" s="394" t="s">
        <v>1558</v>
      </c>
      <c r="F12" s="395">
        <v>21000000</v>
      </c>
      <c r="G12" s="395">
        <v>20000000</v>
      </c>
      <c r="H12" s="394" t="s">
        <v>1559</v>
      </c>
      <c r="I12" s="394" t="s">
        <v>155</v>
      </c>
      <c r="J12" s="394" t="s">
        <v>155</v>
      </c>
      <c r="K12" s="394">
        <v>10623261</v>
      </c>
      <c r="L12" s="394" t="s">
        <v>1558</v>
      </c>
      <c r="M12" s="396" t="s">
        <v>1560</v>
      </c>
      <c r="N12" s="394" t="s">
        <v>91</v>
      </c>
      <c r="O12" s="122" t="s">
        <v>34</v>
      </c>
      <c r="P12" s="394" t="s">
        <v>155</v>
      </c>
      <c r="Q12" s="394" t="s">
        <v>155</v>
      </c>
      <c r="R12" s="394" t="s">
        <v>1561</v>
      </c>
      <c r="S12" s="394" t="s">
        <v>1577</v>
      </c>
      <c r="T12" s="394">
        <v>500</v>
      </c>
      <c r="U12" s="398">
        <v>46539</v>
      </c>
    </row>
    <row r="13" spans="1:22">
      <c r="A13" s="394" t="s">
        <v>1578</v>
      </c>
      <c r="B13" s="238">
        <v>1950658</v>
      </c>
      <c r="C13" s="394" t="s">
        <v>1579</v>
      </c>
      <c r="D13" s="117">
        <v>1120558</v>
      </c>
      <c r="E13" s="394" t="s">
        <v>1580</v>
      </c>
      <c r="F13" s="395">
        <v>400000000</v>
      </c>
      <c r="G13" s="395">
        <v>200000</v>
      </c>
      <c r="H13" s="394" t="s">
        <v>716</v>
      </c>
      <c r="I13" s="394" t="s">
        <v>155</v>
      </c>
      <c r="J13" s="394" t="s">
        <v>155</v>
      </c>
      <c r="K13" s="401">
        <v>10629913</v>
      </c>
      <c r="L13" s="394" t="s">
        <v>1580</v>
      </c>
      <c r="M13" s="396" t="s">
        <v>1560</v>
      </c>
      <c r="N13" s="394" t="s">
        <v>91</v>
      </c>
      <c r="O13" s="122" t="s">
        <v>34</v>
      </c>
      <c r="P13" s="394" t="s">
        <v>155</v>
      </c>
      <c r="Q13" s="394" t="s">
        <v>155</v>
      </c>
      <c r="R13" s="394" t="s">
        <v>1581</v>
      </c>
      <c r="S13" s="394" t="s">
        <v>1582</v>
      </c>
      <c r="T13" s="394">
        <v>200</v>
      </c>
      <c r="U13" s="398">
        <v>46023</v>
      </c>
    </row>
    <row r="14" spans="1:22">
      <c r="A14" s="394" t="s">
        <v>1578</v>
      </c>
      <c r="B14" s="238">
        <v>163653</v>
      </c>
      <c r="C14" s="394" t="s">
        <v>1583</v>
      </c>
      <c r="D14" s="117">
        <v>1151338</v>
      </c>
      <c r="E14" s="394" t="s">
        <v>1580</v>
      </c>
      <c r="F14" s="395">
        <v>400000000</v>
      </c>
      <c r="G14" s="395">
        <v>200000</v>
      </c>
      <c r="H14" s="394">
        <v>10</v>
      </c>
      <c r="I14" s="394" t="s">
        <v>155</v>
      </c>
      <c r="J14" s="394" t="s">
        <v>155</v>
      </c>
      <c r="K14" s="401">
        <v>10629913</v>
      </c>
      <c r="L14" s="394" t="s">
        <v>1580</v>
      </c>
      <c r="M14" s="396" t="s">
        <v>1560</v>
      </c>
      <c r="N14" s="394" t="s">
        <v>91</v>
      </c>
      <c r="O14" s="122" t="s">
        <v>36</v>
      </c>
      <c r="P14" s="394" t="s">
        <v>155</v>
      </c>
      <c r="Q14" s="394" t="s">
        <v>155</v>
      </c>
      <c r="R14" s="394" t="s">
        <v>1581</v>
      </c>
      <c r="S14" s="394" t="s">
        <v>1584</v>
      </c>
      <c r="T14" s="394">
        <v>20</v>
      </c>
      <c r="U14" s="398">
        <v>46054</v>
      </c>
    </row>
    <row r="15" spans="1:22">
      <c r="A15" s="394" t="s">
        <v>1578</v>
      </c>
      <c r="B15" s="238">
        <v>631070414</v>
      </c>
      <c r="C15" s="394" t="s">
        <v>1585</v>
      </c>
      <c r="D15" s="117">
        <v>1547826</v>
      </c>
      <c r="E15" s="394" t="s">
        <v>1580</v>
      </c>
      <c r="F15" s="395">
        <v>400000000</v>
      </c>
      <c r="G15" s="395">
        <v>200000</v>
      </c>
      <c r="H15" s="394" t="s">
        <v>716</v>
      </c>
      <c r="I15" s="394" t="s">
        <v>155</v>
      </c>
      <c r="J15" s="394" t="s">
        <v>155</v>
      </c>
      <c r="K15" s="394">
        <v>10629913</v>
      </c>
      <c r="L15" s="394" t="s">
        <v>1580</v>
      </c>
      <c r="M15" s="396" t="s">
        <v>1560</v>
      </c>
      <c r="N15" s="394" t="s">
        <v>91</v>
      </c>
      <c r="O15" s="122" t="s">
        <v>34</v>
      </c>
      <c r="P15" s="394" t="s">
        <v>155</v>
      </c>
      <c r="Q15" s="394" t="s">
        <v>155</v>
      </c>
      <c r="R15" s="394" t="s">
        <v>1586</v>
      </c>
      <c r="S15" s="394" t="s">
        <v>1587</v>
      </c>
      <c r="T15" s="394">
        <v>400</v>
      </c>
      <c r="U15" s="398">
        <v>46082</v>
      </c>
    </row>
    <row r="16" spans="1:22">
      <c r="A16" s="394" t="s">
        <v>1578</v>
      </c>
      <c r="B16" s="115" t="s">
        <v>1588</v>
      </c>
      <c r="C16" s="394" t="s">
        <v>1589</v>
      </c>
      <c r="D16" s="117">
        <v>243598</v>
      </c>
      <c r="E16" s="394" t="s">
        <v>1580</v>
      </c>
      <c r="F16" s="395">
        <v>400000000</v>
      </c>
      <c r="G16" s="395">
        <v>200000</v>
      </c>
      <c r="H16" s="394" t="s">
        <v>716</v>
      </c>
      <c r="I16" s="394" t="s">
        <v>155</v>
      </c>
      <c r="J16" s="394" t="s">
        <v>155</v>
      </c>
      <c r="K16" s="394">
        <v>10629913</v>
      </c>
      <c r="L16" s="394" t="s">
        <v>1580</v>
      </c>
      <c r="M16" s="396" t="s">
        <v>1560</v>
      </c>
      <c r="N16" s="394" t="s">
        <v>91</v>
      </c>
      <c r="O16" s="122" t="s">
        <v>34</v>
      </c>
      <c r="P16" s="394" t="s">
        <v>155</v>
      </c>
      <c r="Q16" s="394" t="s">
        <v>155</v>
      </c>
      <c r="R16" s="394" t="s">
        <v>1586</v>
      </c>
      <c r="S16" s="394" t="s">
        <v>1590</v>
      </c>
      <c r="T16" s="394">
        <v>200</v>
      </c>
      <c r="U16" s="398">
        <v>46083</v>
      </c>
    </row>
    <row r="17" spans="1:21">
      <c r="A17" s="394" t="s">
        <v>1578</v>
      </c>
      <c r="B17" s="238">
        <v>1560400081</v>
      </c>
      <c r="C17" s="394" t="s">
        <v>1591</v>
      </c>
      <c r="D17" s="117">
        <v>122687</v>
      </c>
      <c r="E17" s="394" t="s">
        <v>1580</v>
      </c>
      <c r="F17" s="395">
        <v>400000000</v>
      </c>
      <c r="G17" s="395">
        <v>200000</v>
      </c>
      <c r="H17" s="394" t="s">
        <v>716</v>
      </c>
      <c r="I17" s="394" t="s">
        <v>155</v>
      </c>
      <c r="J17" s="394" t="s">
        <v>155</v>
      </c>
      <c r="K17" s="394">
        <v>10629913</v>
      </c>
      <c r="L17" s="394" t="s">
        <v>1580</v>
      </c>
      <c r="M17" s="396" t="s">
        <v>1560</v>
      </c>
      <c r="N17" s="394" t="s">
        <v>91</v>
      </c>
      <c r="O17" s="122" t="s">
        <v>36</v>
      </c>
      <c r="P17" s="394" t="s">
        <v>155</v>
      </c>
      <c r="Q17" s="394" t="s">
        <v>155</v>
      </c>
      <c r="R17" s="394" t="s">
        <v>1586</v>
      </c>
      <c r="S17" s="394" t="s">
        <v>1592</v>
      </c>
      <c r="T17" s="394">
        <v>100</v>
      </c>
      <c r="U17" s="398">
        <v>46084</v>
      </c>
    </row>
    <row r="18" spans="1:21">
      <c r="A18" s="394" t="s">
        <v>723</v>
      </c>
      <c r="B18" s="238">
        <v>19525533</v>
      </c>
      <c r="C18" s="394" t="s">
        <v>1593</v>
      </c>
      <c r="D18" s="117">
        <v>3395222</v>
      </c>
      <c r="E18" s="394" t="s">
        <v>1580</v>
      </c>
      <c r="F18" s="395">
        <v>400000000</v>
      </c>
      <c r="G18" s="395">
        <v>200000</v>
      </c>
      <c r="H18" s="394" t="s">
        <v>716</v>
      </c>
      <c r="I18" s="394" t="s">
        <v>155</v>
      </c>
      <c r="J18" s="394" t="s">
        <v>155</v>
      </c>
      <c r="K18" s="394">
        <v>10629913</v>
      </c>
      <c r="L18" s="394" t="s">
        <v>1580</v>
      </c>
      <c r="M18" s="396" t="s">
        <v>1560</v>
      </c>
      <c r="N18" s="394" t="s">
        <v>91</v>
      </c>
      <c r="O18" s="122" t="s">
        <v>34</v>
      </c>
      <c r="P18" s="394" t="s">
        <v>155</v>
      </c>
      <c r="Q18" s="394" t="s">
        <v>155</v>
      </c>
      <c r="R18" s="394" t="s">
        <v>1586</v>
      </c>
      <c r="S18" s="394" t="s">
        <v>1594</v>
      </c>
      <c r="T18" s="394">
        <v>100</v>
      </c>
      <c r="U18" s="398">
        <v>46086</v>
      </c>
    </row>
    <row r="19" spans="1:21">
      <c r="A19" s="394" t="s">
        <v>1578</v>
      </c>
      <c r="B19" s="394">
        <v>698029620</v>
      </c>
      <c r="C19" s="394" t="s">
        <v>352</v>
      </c>
      <c r="D19" s="117">
        <v>2262000</v>
      </c>
      <c r="E19" s="394" t="s">
        <v>1580</v>
      </c>
      <c r="F19" s="395">
        <v>400000000</v>
      </c>
      <c r="G19" s="395">
        <v>200000</v>
      </c>
      <c r="H19" s="394" t="s">
        <v>716</v>
      </c>
      <c r="I19" s="394" t="s">
        <v>155</v>
      </c>
      <c r="J19" s="394" t="s">
        <v>155</v>
      </c>
      <c r="K19" s="394">
        <v>10629913</v>
      </c>
      <c r="L19" s="394" t="s">
        <v>1580</v>
      </c>
      <c r="M19" s="396" t="s">
        <v>1560</v>
      </c>
      <c r="N19" s="394" t="s">
        <v>91</v>
      </c>
      <c r="O19" s="122" t="s">
        <v>34</v>
      </c>
      <c r="P19" s="394" t="s">
        <v>155</v>
      </c>
      <c r="Q19" s="394" t="s">
        <v>155</v>
      </c>
      <c r="R19" s="394" t="s">
        <v>1586</v>
      </c>
      <c r="S19" s="394" t="s">
        <v>1595</v>
      </c>
      <c r="T19" s="394">
        <v>200</v>
      </c>
      <c r="U19" s="398">
        <v>46086</v>
      </c>
    </row>
    <row r="20" spans="1:21">
      <c r="A20" s="394" t="s">
        <v>796</v>
      </c>
      <c r="B20" s="394">
        <v>326246517</v>
      </c>
      <c r="C20" s="394" t="s">
        <v>96</v>
      </c>
      <c r="D20" s="117">
        <v>2277000</v>
      </c>
      <c r="E20" s="394" t="s">
        <v>797</v>
      </c>
      <c r="F20" s="402">
        <v>19415000</v>
      </c>
      <c r="G20" s="402">
        <v>7158893</v>
      </c>
      <c r="H20" s="394" t="s">
        <v>1596</v>
      </c>
      <c r="I20" s="394" t="s">
        <v>155</v>
      </c>
      <c r="J20" s="394" t="s">
        <v>214</v>
      </c>
      <c r="K20" s="394">
        <v>10627919</v>
      </c>
      <c r="L20" s="394" t="s">
        <v>797</v>
      </c>
      <c r="M20" s="396" t="s">
        <v>1560</v>
      </c>
      <c r="N20" s="394" t="s">
        <v>22</v>
      </c>
      <c r="O20" s="122" t="s">
        <v>34</v>
      </c>
      <c r="P20" s="394" t="s">
        <v>155</v>
      </c>
      <c r="Q20" s="394" t="s">
        <v>155</v>
      </c>
      <c r="R20" s="394" t="s">
        <v>1597</v>
      </c>
      <c r="S20" s="394" t="s">
        <v>1598</v>
      </c>
      <c r="T20" s="394">
        <v>1000</v>
      </c>
      <c r="U20" s="398">
        <v>46178</v>
      </c>
    </row>
    <row r="21" spans="1:21">
      <c r="A21" s="394" t="s">
        <v>1351</v>
      </c>
      <c r="B21" s="394">
        <v>73415355</v>
      </c>
      <c r="C21" s="400" t="s">
        <v>1599</v>
      </c>
      <c r="D21" s="117">
        <v>1992000</v>
      </c>
      <c r="E21" s="394" t="s">
        <v>1600</v>
      </c>
      <c r="F21" s="394">
        <v>0</v>
      </c>
      <c r="G21" s="394">
        <v>0</v>
      </c>
      <c r="H21" s="394" t="s">
        <v>1601</v>
      </c>
      <c r="I21" s="394" t="s">
        <v>214</v>
      </c>
      <c r="J21" s="394" t="s">
        <v>214</v>
      </c>
      <c r="K21" s="394" t="s">
        <v>16</v>
      </c>
      <c r="L21" s="394" t="s">
        <v>16</v>
      </c>
      <c r="M21" s="396" t="s">
        <v>1560</v>
      </c>
      <c r="N21" s="394" t="s">
        <v>22</v>
      </c>
      <c r="O21" s="122" t="s">
        <v>34</v>
      </c>
      <c r="P21" s="394" t="s">
        <v>155</v>
      </c>
      <c r="Q21" s="394" t="s">
        <v>155</v>
      </c>
      <c r="R21" s="394" t="s">
        <v>1602</v>
      </c>
      <c r="S21" s="394" t="s">
        <v>1603</v>
      </c>
      <c r="T21" s="394">
        <v>200</v>
      </c>
      <c r="U21" s="398">
        <v>46117</v>
      </c>
    </row>
    <row r="22" spans="1:21">
      <c r="A22" s="394" t="s">
        <v>723</v>
      </c>
      <c r="B22" s="394">
        <v>560834734</v>
      </c>
      <c r="C22" s="394" t="s">
        <v>1604</v>
      </c>
      <c r="D22" s="117">
        <v>313000</v>
      </c>
      <c r="E22" s="394" t="s">
        <v>1605</v>
      </c>
      <c r="F22" s="395">
        <v>650000000</v>
      </c>
      <c r="G22" s="395">
        <v>2000000</v>
      </c>
      <c r="H22" s="394" t="s">
        <v>1606</v>
      </c>
      <c r="I22" s="394" t="s">
        <v>214</v>
      </c>
      <c r="J22" s="394" t="s">
        <v>214</v>
      </c>
      <c r="K22" s="394" t="s">
        <v>16</v>
      </c>
      <c r="L22" s="394" t="s">
        <v>16</v>
      </c>
      <c r="M22" s="396" t="s">
        <v>1560</v>
      </c>
      <c r="N22" s="394" t="s">
        <v>1607</v>
      </c>
      <c r="O22" s="122" t="s">
        <v>34</v>
      </c>
      <c r="P22" s="394" t="s">
        <v>155</v>
      </c>
      <c r="Q22" s="394" t="s">
        <v>155</v>
      </c>
      <c r="R22" s="394" t="s">
        <v>1602</v>
      </c>
      <c r="S22" s="394" t="s">
        <v>1608</v>
      </c>
      <c r="T22" s="394">
        <v>500</v>
      </c>
      <c r="U22" s="398">
        <v>46101</v>
      </c>
    </row>
    <row r="23" spans="1:21">
      <c r="A23" s="394" t="s">
        <v>1351</v>
      </c>
      <c r="B23" s="394">
        <v>299580163</v>
      </c>
      <c r="C23" s="394" t="s">
        <v>1609</v>
      </c>
      <c r="D23" s="117">
        <v>1151000</v>
      </c>
      <c r="E23" s="394" t="s">
        <v>1610</v>
      </c>
      <c r="F23" s="395">
        <v>500000000</v>
      </c>
      <c r="G23" s="395">
        <v>2300000</v>
      </c>
      <c r="H23" s="394" t="s">
        <v>1596</v>
      </c>
      <c r="I23" s="394" t="s">
        <v>214</v>
      </c>
      <c r="J23" s="394" t="s">
        <v>214</v>
      </c>
      <c r="M23" s="396" t="s">
        <v>1560</v>
      </c>
      <c r="N23" s="394" t="s">
        <v>1607</v>
      </c>
      <c r="O23" s="122" t="s">
        <v>34</v>
      </c>
      <c r="P23" s="394" t="s">
        <v>155</v>
      </c>
      <c r="Q23" s="394" t="s">
        <v>155</v>
      </c>
      <c r="R23" s="394" t="s">
        <v>1586</v>
      </c>
      <c r="S23" s="394" t="s">
        <v>1611</v>
      </c>
      <c r="T23" s="394">
        <v>500</v>
      </c>
      <c r="U23" s="398">
        <v>46101</v>
      </c>
    </row>
    <row r="24" spans="1:21">
      <c r="A24" s="394" t="s">
        <v>1612</v>
      </c>
      <c r="C24" s="394" t="s">
        <v>1613</v>
      </c>
      <c r="E24" s="394" t="s">
        <v>1580</v>
      </c>
      <c r="F24" s="395">
        <v>400000000</v>
      </c>
      <c r="G24" s="395">
        <v>200000</v>
      </c>
      <c r="H24" s="394" t="s">
        <v>716</v>
      </c>
      <c r="I24" s="394" t="s">
        <v>155</v>
      </c>
      <c r="J24" s="394" t="s">
        <v>155</v>
      </c>
      <c r="K24" s="394">
        <v>10629913</v>
      </c>
      <c r="L24" s="394" t="s">
        <v>1580</v>
      </c>
      <c r="M24" s="396" t="s">
        <v>1560</v>
      </c>
      <c r="N24" s="394" t="s">
        <v>91</v>
      </c>
      <c r="O24" s="122" t="s">
        <v>34</v>
      </c>
      <c r="P24" s="394" t="s">
        <v>155</v>
      </c>
      <c r="Q24" s="394" t="s">
        <v>214</v>
      </c>
      <c r="R24" s="394" t="s">
        <v>1614</v>
      </c>
    </row>
    <row r="25" spans="1:21">
      <c r="A25" s="394" t="s">
        <v>695</v>
      </c>
      <c r="B25" s="403" t="s">
        <v>1615</v>
      </c>
      <c r="C25" s="394" t="s">
        <v>1616</v>
      </c>
      <c r="D25" s="395">
        <v>3465224</v>
      </c>
      <c r="E25" s="394" t="s">
        <v>1580</v>
      </c>
      <c r="F25" s="395">
        <v>400000000</v>
      </c>
      <c r="G25" s="395">
        <v>200000</v>
      </c>
      <c r="H25" s="394" t="s">
        <v>716</v>
      </c>
      <c r="I25" s="394" t="s">
        <v>155</v>
      </c>
      <c r="J25" s="394" t="s">
        <v>155</v>
      </c>
      <c r="K25" s="394">
        <v>10629913</v>
      </c>
      <c r="L25" s="394" t="s">
        <v>1580</v>
      </c>
      <c r="M25" s="122" t="s">
        <v>1560</v>
      </c>
      <c r="N25" s="394" t="s">
        <v>91</v>
      </c>
      <c r="O25" s="122" t="s">
        <v>34</v>
      </c>
      <c r="P25" s="394" t="s">
        <v>155</v>
      </c>
      <c r="Q25" s="394" t="s">
        <v>214</v>
      </c>
      <c r="R25" s="394" t="s">
        <v>1614</v>
      </c>
    </row>
    <row r="26" spans="1:21">
      <c r="A26" s="394" t="s">
        <v>1578</v>
      </c>
      <c r="B26" s="394">
        <v>671538942</v>
      </c>
      <c r="C26" s="394" t="s">
        <v>1617</v>
      </c>
      <c r="D26" s="395">
        <v>703213</v>
      </c>
      <c r="E26" s="394" t="s">
        <v>1580</v>
      </c>
      <c r="F26" s="395">
        <v>400000000</v>
      </c>
      <c r="G26" s="395">
        <v>200000</v>
      </c>
      <c r="H26" s="394" t="s">
        <v>716</v>
      </c>
      <c r="I26" s="394" t="s">
        <v>155</v>
      </c>
      <c r="J26" s="394" t="s">
        <v>155</v>
      </c>
      <c r="K26" s="394">
        <v>10629913</v>
      </c>
      <c r="L26" s="394" t="s">
        <v>1580</v>
      </c>
      <c r="M26" s="396" t="s">
        <v>1560</v>
      </c>
      <c r="N26" s="394" t="s">
        <v>91</v>
      </c>
      <c r="O26" s="122" t="s">
        <v>34</v>
      </c>
      <c r="P26" s="394" t="s">
        <v>155</v>
      </c>
      <c r="Q26" s="394" t="s">
        <v>214</v>
      </c>
      <c r="R26" s="394" t="s">
        <v>1614</v>
      </c>
    </row>
    <row r="27" spans="1:21">
      <c r="A27" s="394" t="s">
        <v>1578</v>
      </c>
      <c r="B27" s="394">
        <v>45502</v>
      </c>
      <c r="C27" s="394" t="s">
        <v>1618</v>
      </c>
      <c r="D27" s="395">
        <v>711317</v>
      </c>
      <c r="E27" s="394" t="s">
        <v>1580</v>
      </c>
      <c r="F27" s="395">
        <v>400000000</v>
      </c>
      <c r="G27" s="395">
        <v>200000</v>
      </c>
      <c r="H27" s="394" t="s">
        <v>716</v>
      </c>
      <c r="I27" s="394" t="s">
        <v>155</v>
      </c>
      <c r="J27" s="394" t="s">
        <v>155</v>
      </c>
      <c r="K27" s="394">
        <v>10629913</v>
      </c>
      <c r="L27" s="394" t="s">
        <v>1580</v>
      </c>
      <c r="M27" s="396" t="s">
        <v>1560</v>
      </c>
      <c r="N27" s="394" t="s">
        <v>91</v>
      </c>
      <c r="O27" s="122" t="s">
        <v>34</v>
      </c>
      <c r="P27" s="394" t="s">
        <v>155</v>
      </c>
      <c r="Q27" s="394" t="s">
        <v>214</v>
      </c>
      <c r="R27" s="394" t="s">
        <v>1614</v>
      </c>
    </row>
    <row r="28" spans="1:21">
      <c r="A28" s="394" t="s">
        <v>1578</v>
      </c>
      <c r="B28" s="394">
        <v>1265680561</v>
      </c>
      <c r="C28" s="394" t="s">
        <v>619</v>
      </c>
      <c r="D28" s="395">
        <v>1778322</v>
      </c>
      <c r="E28" s="394" t="s">
        <v>1580</v>
      </c>
      <c r="F28" s="395">
        <v>400000000</v>
      </c>
      <c r="G28" s="395">
        <v>200000</v>
      </c>
      <c r="H28" s="394" t="s">
        <v>716</v>
      </c>
      <c r="I28" s="394" t="s">
        <v>155</v>
      </c>
      <c r="J28" s="394" t="s">
        <v>155</v>
      </c>
      <c r="K28" s="394">
        <v>10629913</v>
      </c>
      <c r="L28" s="394" t="s">
        <v>1580</v>
      </c>
      <c r="M28" s="396" t="s">
        <v>1560</v>
      </c>
      <c r="N28" s="394" t="s">
        <v>91</v>
      </c>
      <c r="O28" s="122" t="s">
        <v>34</v>
      </c>
      <c r="P28" s="394" t="s">
        <v>155</v>
      </c>
      <c r="Q28" s="394" t="s">
        <v>214</v>
      </c>
      <c r="R28" s="394" t="s">
        <v>1614</v>
      </c>
    </row>
    <row r="29" spans="1:21">
      <c r="A29" s="394" t="s">
        <v>1578</v>
      </c>
      <c r="B29" s="394">
        <v>4176573</v>
      </c>
      <c r="C29" s="394" t="s">
        <v>1619</v>
      </c>
      <c r="D29" s="395">
        <v>665587</v>
      </c>
      <c r="E29" s="394" t="s">
        <v>1580</v>
      </c>
      <c r="F29" s="395">
        <v>400000000</v>
      </c>
      <c r="G29" s="395">
        <v>200000</v>
      </c>
      <c r="H29" s="394" t="s">
        <v>716</v>
      </c>
      <c r="I29" s="394" t="s">
        <v>155</v>
      </c>
      <c r="J29" s="394" t="s">
        <v>155</v>
      </c>
      <c r="K29" s="394">
        <v>10629913</v>
      </c>
      <c r="L29" s="394" t="s">
        <v>1580</v>
      </c>
      <c r="M29" s="396" t="s">
        <v>1560</v>
      </c>
      <c r="N29" s="394" t="s">
        <v>91</v>
      </c>
      <c r="O29" s="122" t="s">
        <v>34</v>
      </c>
      <c r="P29" s="394" t="s">
        <v>155</v>
      </c>
      <c r="Q29" s="394" t="s">
        <v>214</v>
      </c>
      <c r="R29" s="394" t="s">
        <v>1614</v>
      </c>
    </row>
    <row r="30" spans="1:21">
      <c r="A30" s="394" t="s">
        <v>1578</v>
      </c>
      <c r="B30" s="394">
        <v>1588646945</v>
      </c>
      <c r="C30" s="394" t="s">
        <v>1620</v>
      </c>
      <c r="D30" s="395">
        <v>577140</v>
      </c>
      <c r="E30" s="394" t="s">
        <v>1580</v>
      </c>
      <c r="F30" s="395">
        <v>400000000</v>
      </c>
      <c r="G30" s="395">
        <v>200000</v>
      </c>
      <c r="H30" s="394" t="s">
        <v>716</v>
      </c>
      <c r="I30" s="394" t="s">
        <v>155</v>
      </c>
      <c r="J30" s="394" t="s">
        <v>155</v>
      </c>
      <c r="K30" s="394">
        <v>10629913</v>
      </c>
      <c r="L30" s="394" t="s">
        <v>1580</v>
      </c>
      <c r="M30" s="396" t="s">
        <v>1560</v>
      </c>
      <c r="N30" s="394" t="s">
        <v>91</v>
      </c>
      <c r="O30" s="122" t="s">
        <v>34</v>
      </c>
      <c r="P30" s="394" t="s">
        <v>155</v>
      </c>
      <c r="Q30" s="394" t="s">
        <v>214</v>
      </c>
      <c r="R30" s="394" t="s">
        <v>1614</v>
      </c>
    </row>
    <row r="31" spans="1:21">
      <c r="M31" s="396"/>
    </row>
    <row r="32" spans="1:21">
      <c r="M32" s="396"/>
    </row>
    <row r="33" spans="13:13">
      <c r="M33" s="396"/>
    </row>
    <row r="34" spans="13:13">
      <c r="M34" s="396"/>
    </row>
    <row r="35" spans="13:13">
      <c r="M35" s="396"/>
    </row>
    <row r="36" spans="13:13">
      <c r="M36" s="396"/>
    </row>
    <row r="37" spans="13:13">
      <c r="M37" s="396"/>
    </row>
    <row r="38" spans="13:13">
      <c r="M38" s="396"/>
    </row>
    <row r="39" spans="13:13">
      <c r="M39" s="396"/>
    </row>
    <row r="40" spans="13:13">
      <c r="M40" s="396"/>
    </row>
    <row r="41" spans="13:13">
      <c r="M41" s="396"/>
    </row>
    <row r="42" spans="13:13">
      <c r="M42" s="396"/>
    </row>
    <row r="43" spans="13:13">
      <c r="M43" s="396"/>
    </row>
    <row r="44" spans="13:13">
      <c r="M44" s="396"/>
    </row>
    <row r="45" spans="13:13">
      <c r="M45" s="396"/>
    </row>
    <row r="46" spans="13:13">
      <c r="M46" s="396"/>
    </row>
    <row r="47" spans="13:13">
      <c r="M47" s="396"/>
    </row>
    <row r="48" spans="13:13">
      <c r="M48" s="396"/>
    </row>
    <row r="49" spans="13:13">
      <c r="M49" s="396"/>
    </row>
    <row r="50" spans="13:13">
      <c r="M50" s="396"/>
    </row>
    <row r="51" spans="13:13">
      <c r="M51" s="396"/>
    </row>
    <row r="52" spans="13:13">
      <c r="M52" s="396"/>
    </row>
    <row r="53" spans="13:13">
      <c r="M53" s="396"/>
    </row>
    <row r="54" spans="13:13">
      <c r="M54" s="396"/>
    </row>
    <row r="55" spans="13:13">
      <c r="M55" s="396"/>
    </row>
    <row r="56" spans="13:13">
      <c r="M56" s="396"/>
    </row>
    <row r="57" spans="13:13">
      <c r="M57" s="396"/>
    </row>
    <row r="58" spans="13:13">
      <c r="M58" s="396"/>
    </row>
    <row r="59" spans="13:13">
      <c r="M59" s="396"/>
    </row>
    <row r="60" spans="13:13">
      <c r="M60" s="396"/>
    </row>
    <row r="61" spans="13:13">
      <c r="M61" s="396"/>
    </row>
    <row r="62" spans="13:13">
      <c r="M62" s="396"/>
    </row>
    <row r="63" spans="13:13">
      <c r="M63" s="396"/>
    </row>
    <row r="64" spans="13:13">
      <c r="M64" s="396"/>
    </row>
    <row r="65" spans="13:13">
      <c r="M65" s="396"/>
    </row>
    <row r="66" spans="13:13">
      <c r="M66" s="396"/>
    </row>
    <row r="67" spans="13:13">
      <c r="M67" s="396"/>
    </row>
    <row r="68" spans="13:13">
      <c r="M68" s="396"/>
    </row>
    <row r="69" spans="13:13">
      <c r="M69" s="396"/>
    </row>
    <row r="70" spans="13:13">
      <c r="M70" s="396"/>
    </row>
    <row r="71" spans="13:13">
      <c r="M71" s="396"/>
    </row>
    <row r="72" spans="13:13">
      <c r="M72" s="396"/>
    </row>
    <row r="73" spans="13:13">
      <c r="M73" s="396"/>
    </row>
    <row r="74" spans="13:13">
      <c r="M74" s="396"/>
    </row>
    <row r="75" spans="13:13">
      <c r="M75" s="396"/>
    </row>
    <row r="76" spans="13:13">
      <c r="M76" s="396"/>
    </row>
    <row r="77" spans="13:13">
      <c r="M77" s="396"/>
    </row>
    <row r="78" spans="13:13">
      <c r="M78" s="396"/>
    </row>
    <row r="79" spans="13:13">
      <c r="M79" s="396"/>
    </row>
    <row r="80" spans="13:13">
      <c r="M80" s="396"/>
    </row>
    <row r="81" spans="13:13">
      <c r="M81" s="396"/>
    </row>
    <row r="82" spans="13:13">
      <c r="M82" s="396"/>
    </row>
    <row r="83" spans="13:13">
      <c r="M83" s="396"/>
    </row>
    <row r="84" spans="13:13">
      <c r="M84" s="396"/>
    </row>
    <row r="85" spans="13:13">
      <c r="M85" s="396"/>
    </row>
    <row r="86" spans="13:13">
      <c r="M86" s="396"/>
    </row>
    <row r="87" spans="13:13">
      <c r="M87" s="396"/>
    </row>
    <row r="88" spans="13:13">
      <c r="M88" s="396"/>
    </row>
    <row r="89" spans="13:13">
      <c r="M89" s="396"/>
    </row>
    <row r="90" spans="13:13">
      <c r="M90" s="396"/>
    </row>
    <row r="91" spans="13:13">
      <c r="M91" s="396"/>
    </row>
    <row r="92" spans="13:13">
      <c r="M92" s="396"/>
    </row>
    <row r="93" spans="13:13">
      <c r="M93" s="396"/>
    </row>
    <row r="94" spans="13:13">
      <c r="M94" s="396"/>
    </row>
    <row r="95" spans="13:13">
      <c r="M95" s="396"/>
    </row>
    <row r="96" spans="13:13">
      <c r="M96" s="396"/>
    </row>
    <row r="97" spans="13:13">
      <c r="M97" s="396"/>
    </row>
    <row r="98" spans="13:13">
      <c r="M98" s="396"/>
    </row>
    <row r="99" spans="13:13">
      <c r="M99" s="396"/>
    </row>
    <row r="100" spans="13:13">
      <c r="M100" s="396"/>
    </row>
    <row r="101" spans="13:13">
      <c r="M101" s="396"/>
    </row>
    <row r="102" spans="13:13">
      <c r="M102" s="396"/>
    </row>
    <row r="103" spans="13:13">
      <c r="M103" s="396"/>
    </row>
    <row r="104" spans="13:13">
      <c r="M104" s="396"/>
    </row>
    <row r="105" spans="13:13">
      <c r="M105" s="396"/>
    </row>
    <row r="106" spans="13:13">
      <c r="M106" s="396"/>
    </row>
    <row r="107" spans="13:13">
      <c r="M107" s="396"/>
    </row>
    <row r="108" spans="13:13">
      <c r="M108" s="396"/>
    </row>
    <row r="109" spans="13:13">
      <c r="M109" s="396"/>
    </row>
    <row r="110" spans="13:13">
      <c r="M110" s="396"/>
    </row>
    <row r="111" spans="13:13">
      <c r="M111" s="396"/>
    </row>
    <row r="112" spans="13:13">
      <c r="M112" s="396"/>
    </row>
    <row r="113" spans="13:13">
      <c r="M113" s="396"/>
    </row>
    <row r="114" spans="13:13">
      <c r="M114" s="396"/>
    </row>
    <row r="115" spans="13:13">
      <c r="M115" s="396"/>
    </row>
    <row r="116" spans="13:13">
      <c r="M116" s="396"/>
    </row>
    <row r="117" spans="13:13">
      <c r="M117" s="396"/>
    </row>
    <row r="118" spans="13:13">
      <c r="M118" s="396"/>
    </row>
    <row r="119" spans="13:13">
      <c r="M119" s="396"/>
    </row>
    <row r="120" spans="13:13">
      <c r="M120" s="396"/>
    </row>
    <row r="121" spans="13:13">
      <c r="M121" s="396"/>
    </row>
    <row r="122" spans="13:13">
      <c r="M122" s="396"/>
    </row>
    <row r="123" spans="13:13">
      <c r="M123" s="396"/>
    </row>
    <row r="124" spans="13:13">
      <c r="M124" s="396"/>
    </row>
    <row r="125" spans="13:13">
      <c r="M125" s="396"/>
    </row>
    <row r="126" spans="13:13">
      <c r="M126" s="396"/>
    </row>
    <row r="127" spans="13:13">
      <c r="M127" s="396"/>
    </row>
    <row r="128" spans="13:13">
      <c r="M128" s="396"/>
    </row>
    <row r="129" spans="13:13">
      <c r="M129" s="396"/>
    </row>
    <row r="130" spans="13:13">
      <c r="M130" s="396"/>
    </row>
    <row r="131" spans="13:13">
      <c r="M131" s="396"/>
    </row>
    <row r="132" spans="13:13">
      <c r="M132" s="396"/>
    </row>
    <row r="133" spans="13:13">
      <c r="M133" s="396"/>
    </row>
    <row r="134" spans="13:13">
      <c r="M134" s="396"/>
    </row>
    <row r="135" spans="13:13">
      <c r="M135" s="396"/>
    </row>
    <row r="136" spans="13:13">
      <c r="M136" s="396"/>
    </row>
    <row r="137" spans="13:13">
      <c r="M137" s="396"/>
    </row>
    <row r="138" spans="13:13">
      <c r="M138" s="396"/>
    </row>
    <row r="139" spans="13:13">
      <c r="M139" s="396"/>
    </row>
    <row r="140" spans="13:13">
      <c r="M140" s="396"/>
    </row>
    <row r="141" spans="13:13">
      <c r="M141" s="396"/>
    </row>
    <row r="142" spans="13:13">
      <c r="M142" s="396"/>
    </row>
    <row r="143" spans="13:13">
      <c r="M143" s="396"/>
    </row>
    <row r="144" spans="13:13">
      <c r="M144" s="396"/>
    </row>
    <row r="145" spans="13:13">
      <c r="M145" s="396"/>
    </row>
    <row r="146" spans="13:13">
      <c r="M146" s="396"/>
    </row>
    <row r="147" spans="13:13">
      <c r="M147" s="396"/>
    </row>
    <row r="148" spans="13:13">
      <c r="M148" s="396"/>
    </row>
    <row r="149" spans="13:13">
      <c r="M149" s="396"/>
    </row>
    <row r="150" spans="13:13">
      <c r="M150" s="396"/>
    </row>
    <row r="151" spans="13:13">
      <c r="M151" s="396"/>
    </row>
    <row r="152" spans="13:13">
      <c r="M152" s="396"/>
    </row>
    <row r="153" spans="13:13">
      <c r="M153" s="396"/>
    </row>
    <row r="154" spans="13:13">
      <c r="M154" s="396"/>
    </row>
    <row r="155" spans="13:13">
      <c r="M155" s="396"/>
    </row>
    <row r="156" spans="13:13">
      <c r="M156" s="396"/>
    </row>
    <row r="157" spans="13:13">
      <c r="M157" s="396"/>
    </row>
    <row r="158" spans="13:13">
      <c r="M158" s="396"/>
    </row>
    <row r="159" spans="13:13">
      <c r="M159" s="396"/>
    </row>
    <row r="160" spans="13:13">
      <c r="M160" s="396"/>
    </row>
    <row r="161" spans="13:13">
      <c r="M161" s="396"/>
    </row>
    <row r="162" spans="13:13">
      <c r="M162" s="396"/>
    </row>
    <row r="163" spans="13:13">
      <c r="M163" s="396"/>
    </row>
    <row r="164" spans="13:13">
      <c r="M164" s="396"/>
    </row>
    <row r="165" spans="13:13">
      <c r="M165" s="396"/>
    </row>
    <row r="166" spans="13:13">
      <c r="M166" s="396"/>
    </row>
    <row r="167" spans="13:13">
      <c r="M167" s="396"/>
    </row>
    <row r="168" spans="13:13">
      <c r="M168" s="396"/>
    </row>
    <row r="169" spans="13:13">
      <c r="M169" s="396"/>
    </row>
    <row r="170" spans="13:13">
      <c r="M170" s="396"/>
    </row>
    <row r="171" spans="13:13">
      <c r="M171" s="396"/>
    </row>
    <row r="172" spans="13:13">
      <c r="M172" s="396"/>
    </row>
    <row r="173" spans="13:13">
      <c r="M173" s="396"/>
    </row>
    <row r="174" spans="13:13">
      <c r="M174" s="396"/>
    </row>
    <row r="175" spans="13:13">
      <c r="M175" s="396"/>
    </row>
    <row r="176" spans="13:13">
      <c r="M176" s="396"/>
    </row>
    <row r="177" spans="13:13">
      <c r="M177" s="396"/>
    </row>
    <row r="178" spans="13:13">
      <c r="M178" s="396"/>
    </row>
    <row r="179" spans="13:13">
      <c r="M179" s="396"/>
    </row>
    <row r="180" spans="13:13">
      <c r="M180" s="396"/>
    </row>
    <row r="181" spans="13:13">
      <c r="M181" s="396"/>
    </row>
    <row r="182" spans="13:13">
      <c r="M182" s="396"/>
    </row>
    <row r="183" spans="13:13">
      <c r="M183" s="396"/>
    </row>
    <row r="184" spans="13:13">
      <c r="M184" s="396"/>
    </row>
    <row r="185" spans="13:13">
      <c r="M185" s="396"/>
    </row>
    <row r="186" spans="13:13">
      <c r="M186" s="396"/>
    </row>
    <row r="187" spans="13:13">
      <c r="M187" s="396"/>
    </row>
    <row r="188" spans="13:13">
      <c r="M188" s="396"/>
    </row>
    <row r="189" spans="13:13">
      <c r="M189" s="396"/>
    </row>
    <row r="190" spans="13:13">
      <c r="M190" s="396"/>
    </row>
    <row r="191" spans="13:13">
      <c r="M191" s="396"/>
    </row>
    <row r="192" spans="13:13">
      <c r="M192" s="396"/>
    </row>
    <row r="193" spans="13:13">
      <c r="M193" s="396"/>
    </row>
    <row r="194" spans="13:13">
      <c r="M194" s="396"/>
    </row>
    <row r="195" spans="13:13">
      <c r="M195" s="396"/>
    </row>
    <row r="196" spans="13:13">
      <c r="M196" s="396"/>
    </row>
    <row r="197" spans="13:13">
      <c r="M197" s="396"/>
    </row>
  </sheetData>
  <mergeCells count="3">
    <mergeCell ref="A1:D1"/>
    <mergeCell ref="P1:V1"/>
    <mergeCell ref="E1:O1"/>
  </mergeCells>
  <phoneticPr fontId="67" type="noConversion"/>
  <conditionalFormatting sqref="B1:B2">
    <cfRule type="duplicateValues" dxfId="6" priority="1"/>
  </conditionalFormatting>
  <conditionalFormatting sqref="B1:B2">
    <cfRule type="duplicateValues" dxfId="5" priority="2"/>
  </conditionalFormatting>
  <conditionalFormatting sqref="C2:D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{0CDB8F88-C965-4258-BC7A-9207F33A6513}</x14:id>
        </ext>
      </extLst>
    </cfRule>
  </conditionalFormatting>
  <dataValidations count="2">
    <dataValidation type="list" allowBlank="1" showInputMessage="1" showErrorMessage="1" sqref="M3:M197" xr:uid="{00000000-0002-0000-0200-000000000000}">
      <formula1>"头部UP主,重点生态,0-1开品,"</formula1>
    </dataValidation>
    <dataValidation type="list" allowBlank="1" showInputMessage="1" showErrorMessage="1" sqref="O3:O30" xr:uid="{00000000-0002-0000-0200-000001000000}">
      <formula1>"P0,P1,P2,"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DB8F88-C965-4258-BC7A-9207F33A6513}">
            <x14:dataBar minLength="0" maxLength="100" gradient="0" direction="leftToRight">
              <x14:cfvo type="autoMin"/>
              <x14:cfvo type="autoMax"/>
              <x14:negativeFillColor rgb="FFFF0000"/>
              <x14:axisColor auto="1"/>
            </x14:dataBar>
          </x14:cfRule>
          <xm:sqref>C2:D2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头部非客制化"/>
  <dimension ref="A1:AI53"/>
  <sheetViews>
    <sheetView workbookViewId="0">
      <pane xSplit="4" ySplit="2" topLeftCell="E3" activePane="bottomRight" state="frozen"/>
      <selection pane="topRight"/>
      <selection pane="bottomLeft"/>
      <selection pane="bottomRight" activeCell="E3" sqref="E3"/>
    </sheetView>
  </sheetViews>
  <sheetFormatPr defaultRowHeight="14"/>
  <cols>
    <col min="1" max="1" width="7.81640625" style="413" customWidth="1"/>
    <col min="2" max="2" width="17.81640625" style="414" customWidth="1"/>
    <col min="3" max="3" width="18.36328125" style="414" customWidth="1"/>
    <col min="4" max="4" width="13.6328125" style="415"/>
    <col min="5" max="5" width="17.54296875" style="128" customWidth="1"/>
    <col min="6" max="6" width="13.6328125" style="416"/>
    <col min="7" max="7" width="13.453125" style="416" customWidth="1"/>
    <col min="8" max="8" width="15.26953125" style="417" customWidth="1"/>
    <col min="9" max="11" width="13.6328125" style="128"/>
    <col min="12" max="12" width="23.453125" style="418" customWidth="1"/>
    <col min="13" max="13" width="9.54296875" style="128" hidden="1" customWidth="1"/>
    <col min="14" max="14" width="13.6328125" style="276" hidden="1"/>
    <col min="15" max="15" width="13.6328125" style="414"/>
    <col min="16" max="16" width="22.26953125" style="276" customWidth="1"/>
    <col min="17" max="17" width="10.08984375" style="128" customWidth="1"/>
    <col min="18" max="18" width="9.54296875" style="128" customWidth="1"/>
    <col min="19" max="19" width="14.453125" style="414" hidden="1" customWidth="1"/>
    <col min="20" max="20" width="47.36328125" style="125" hidden="1" customWidth="1"/>
    <col min="21" max="21" width="13.6328125" style="128"/>
    <col min="22" max="22" width="13.453125" style="414" customWidth="1"/>
    <col min="23" max="23" width="26.453125" style="128" customWidth="1"/>
    <col min="24" max="24" width="18.1796875" style="128" customWidth="1"/>
    <col min="25" max="25" width="17.26953125" style="128" customWidth="1"/>
    <col min="26" max="26" width="52.90625" style="125" customWidth="1"/>
    <col min="27" max="35" width="13.6328125" style="128"/>
  </cols>
  <sheetData>
    <row r="1" spans="1:35" s="384" customFormat="1" ht="30.75" customHeight="1">
      <c r="A1" s="428" t="s">
        <v>680</v>
      </c>
      <c r="B1" s="429"/>
      <c r="C1" s="429"/>
      <c r="D1" s="429"/>
      <c r="E1" s="430" t="s">
        <v>1399</v>
      </c>
      <c r="F1" s="429"/>
      <c r="G1" s="429"/>
      <c r="H1" s="429"/>
      <c r="I1" s="429"/>
      <c r="J1" s="429"/>
      <c r="K1" s="429"/>
      <c r="L1" s="429"/>
      <c r="M1" s="429"/>
      <c r="N1" s="429"/>
      <c r="O1" s="431" t="s">
        <v>690</v>
      </c>
      <c r="P1" s="432"/>
      <c r="Q1" s="432"/>
      <c r="R1" s="432"/>
      <c r="S1" s="433"/>
      <c r="T1" s="433"/>
      <c r="U1" s="434" t="s">
        <v>681</v>
      </c>
      <c r="V1" s="432"/>
      <c r="W1" s="432"/>
      <c r="X1" s="433"/>
      <c r="Y1" s="432"/>
      <c r="Z1" s="420"/>
      <c r="AA1" s="207"/>
      <c r="AB1" s="207"/>
      <c r="AC1" s="207"/>
      <c r="AD1" s="207"/>
      <c r="AE1" s="207"/>
      <c r="AF1" s="207"/>
      <c r="AG1" s="207"/>
      <c r="AH1" s="207"/>
      <c r="AI1" s="207"/>
    </row>
    <row r="2" spans="1:35" s="384" customFormat="1" ht="30.75" customHeight="1">
      <c r="A2" s="333" t="s">
        <v>682</v>
      </c>
      <c r="B2" s="335" t="s">
        <v>683</v>
      </c>
      <c r="C2" s="335" t="s">
        <v>1400</v>
      </c>
      <c r="D2" s="336" t="s">
        <v>684</v>
      </c>
      <c r="E2" s="334" t="s">
        <v>685</v>
      </c>
      <c r="F2" s="337" t="s">
        <v>1401</v>
      </c>
      <c r="G2" s="337" t="s">
        <v>1402</v>
      </c>
      <c r="H2" s="337" t="s">
        <v>686</v>
      </c>
      <c r="I2" s="338" t="s">
        <v>687</v>
      </c>
      <c r="J2" s="338" t="s">
        <v>1403</v>
      </c>
      <c r="K2" s="338" t="s">
        <v>688</v>
      </c>
      <c r="L2" s="338" t="s">
        <v>689</v>
      </c>
      <c r="M2" s="339" t="s">
        <v>1404</v>
      </c>
      <c r="N2" s="340" t="s">
        <v>1405</v>
      </c>
      <c r="O2" s="341" t="s">
        <v>691</v>
      </c>
      <c r="P2" s="341" t="s">
        <v>692</v>
      </c>
      <c r="Q2" s="341" t="s">
        <v>1406</v>
      </c>
      <c r="R2" s="341" t="s">
        <v>690</v>
      </c>
      <c r="S2" s="342" t="s">
        <v>1407</v>
      </c>
      <c r="T2" s="342" t="s">
        <v>1408</v>
      </c>
      <c r="U2" s="340" t="s">
        <v>104</v>
      </c>
      <c r="V2" s="340" t="s">
        <v>0</v>
      </c>
      <c r="W2" s="343" t="s">
        <v>693</v>
      </c>
      <c r="X2" s="340" t="s">
        <v>1409</v>
      </c>
      <c r="Y2" s="339" t="s">
        <v>5</v>
      </c>
      <c r="Z2" s="339" t="s">
        <v>694</v>
      </c>
      <c r="AA2" s="207"/>
      <c r="AB2" s="207"/>
      <c r="AC2" s="207"/>
      <c r="AD2" s="207"/>
      <c r="AE2" s="207"/>
      <c r="AF2" s="207"/>
      <c r="AG2" s="207"/>
      <c r="AH2" s="207"/>
      <c r="AI2" s="207"/>
    </row>
    <row r="3" spans="1:35" ht="16.5" customHeight="1">
      <c r="A3" s="344" t="s">
        <v>714</v>
      </c>
      <c r="B3" s="345" t="s">
        <v>1410</v>
      </c>
      <c r="C3" s="346" t="s">
        <v>925</v>
      </c>
      <c r="D3" s="347">
        <v>854199</v>
      </c>
      <c r="E3" s="346" t="s">
        <v>926</v>
      </c>
      <c r="F3" s="348">
        <v>100170000</v>
      </c>
      <c r="G3" s="348">
        <v>150595</v>
      </c>
      <c r="H3" s="349" t="s">
        <v>214</v>
      </c>
      <c r="I3" s="255" t="s">
        <v>52</v>
      </c>
      <c r="J3" s="350" t="s">
        <v>1411</v>
      </c>
      <c r="K3" s="255" t="s">
        <v>716</v>
      </c>
      <c r="L3" s="351" t="s">
        <v>705</v>
      </c>
      <c r="M3" s="255" t="s">
        <v>214</v>
      </c>
      <c r="N3" s="352"/>
      <c r="O3" s="353"/>
      <c r="P3" s="353"/>
      <c r="Q3" s="354"/>
      <c r="R3" s="354"/>
      <c r="S3" s="355"/>
      <c r="T3" s="356"/>
      <c r="U3" s="357"/>
      <c r="V3" s="358"/>
      <c r="W3" s="354"/>
      <c r="X3" s="356"/>
      <c r="Y3" s="359"/>
      <c r="Z3" s="360"/>
      <c r="AA3" s="356"/>
      <c r="AB3" s="356"/>
      <c r="AC3" s="356"/>
      <c r="AD3" s="356"/>
    </row>
    <row r="4" spans="1:35" ht="16.5" customHeight="1">
      <c r="A4" s="361" t="s">
        <v>695</v>
      </c>
      <c r="B4" s="345" t="s">
        <v>1412</v>
      </c>
      <c r="C4" s="346" t="s">
        <v>1413</v>
      </c>
      <c r="D4" s="348">
        <v>593801</v>
      </c>
      <c r="E4" s="346" t="s">
        <v>1414</v>
      </c>
      <c r="F4" s="348">
        <v>100000000</v>
      </c>
      <c r="G4" s="348">
        <v>490471</v>
      </c>
      <c r="H4" s="349" t="s">
        <v>214</v>
      </c>
      <c r="I4" s="255" t="s">
        <v>52</v>
      </c>
      <c r="J4" s="350" t="s">
        <v>1411</v>
      </c>
      <c r="K4" s="255" t="s">
        <v>713</v>
      </c>
      <c r="L4" s="351" t="s">
        <v>707</v>
      </c>
      <c r="M4" s="255" t="s">
        <v>214</v>
      </c>
      <c r="N4" s="255"/>
      <c r="O4" s="255"/>
      <c r="P4" s="255"/>
      <c r="Q4" s="218"/>
      <c r="R4" s="218"/>
      <c r="S4" s="355"/>
      <c r="T4" s="128"/>
      <c r="U4" s="291"/>
      <c r="V4" s="358"/>
      <c r="W4" s="218"/>
      <c r="Y4" s="218"/>
      <c r="Z4" s="362" t="s">
        <v>1415</v>
      </c>
    </row>
    <row r="5" spans="1:35" ht="16.5" customHeight="1">
      <c r="A5" s="363" t="s">
        <v>763</v>
      </c>
      <c r="B5" s="364" t="s">
        <v>1416</v>
      </c>
      <c r="C5" s="346" t="s">
        <v>1417</v>
      </c>
      <c r="D5" s="365">
        <v>314978</v>
      </c>
      <c r="E5" s="276" t="s">
        <v>1418</v>
      </c>
      <c r="F5" s="365">
        <v>100000000</v>
      </c>
      <c r="G5" s="365">
        <v>1234350</v>
      </c>
      <c r="H5" s="349" t="s">
        <v>214</v>
      </c>
      <c r="I5" s="255" t="s">
        <v>50</v>
      </c>
      <c r="J5" s="366" t="s">
        <v>1411</v>
      </c>
      <c r="K5" s="218" t="s">
        <v>716</v>
      </c>
      <c r="L5" s="351" t="s">
        <v>707</v>
      </c>
      <c r="M5" s="255" t="s">
        <v>214</v>
      </c>
      <c r="N5" s="255"/>
      <c r="O5" s="255"/>
      <c r="P5" s="255"/>
      <c r="Q5" s="218"/>
      <c r="R5" s="218"/>
      <c r="S5" s="355"/>
      <c r="T5" s="128"/>
      <c r="U5" s="291"/>
      <c r="V5" s="358"/>
      <c r="W5" s="367"/>
      <c r="Y5" s="218"/>
      <c r="Z5" s="368" t="s">
        <v>1411</v>
      </c>
    </row>
    <row r="6" spans="1:35" s="62" customFormat="1" ht="16.5" customHeight="1">
      <c r="A6" s="344" t="s">
        <v>796</v>
      </c>
      <c r="B6" s="345" t="s">
        <v>1419</v>
      </c>
      <c r="C6" s="346" t="s">
        <v>1420</v>
      </c>
      <c r="D6" s="347">
        <v>599527</v>
      </c>
      <c r="E6" s="346" t="s">
        <v>1421</v>
      </c>
      <c r="F6" s="348">
        <v>51270000</v>
      </c>
      <c r="G6" s="348" t="s">
        <v>16</v>
      </c>
      <c r="H6" s="349" t="s">
        <v>214</v>
      </c>
      <c r="I6" s="255" t="s">
        <v>54</v>
      </c>
      <c r="J6" s="350" t="s">
        <v>1411</v>
      </c>
      <c r="K6" s="255" t="s">
        <v>1422</v>
      </c>
      <c r="L6" s="351" t="s">
        <v>698</v>
      </c>
      <c r="M6" s="255" t="s">
        <v>214</v>
      </c>
      <c r="N6" s="352"/>
      <c r="O6" s="353"/>
      <c r="P6" s="353"/>
      <c r="Q6" s="354"/>
      <c r="R6" s="354"/>
      <c r="S6" s="355"/>
      <c r="T6" s="128"/>
      <c r="U6" s="357"/>
      <c r="V6" s="358"/>
      <c r="W6" s="354"/>
      <c r="X6" s="128"/>
      <c r="Y6" s="359"/>
      <c r="Z6" s="369"/>
      <c r="AA6" s="128"/>
      <c r="AB6" s="128"/>
      <c r="AC6" s="128"/>
      <c r="AD6" s="128"/>
      <c r="AE6" s="128"/>
      <c r="AF6" s="128"/>
      <c r="AG6" s="128"/>
      <c r="AH6" s="128"/>
      <c r="AI6" s="128"/>
    </row>
    <row r="7" spans="1:35" ht="16.5" customHeight="1">
      <c r="A7" s="344" t="s">
        <v>823</v>
      </c>
      <c r="B7" s="345" t="s">
        <v>1423</v>
      </c>
      <c r="C7" s="346" t="s">
        <v>523</v>
      </c>
      <c r="D7" s="347">
        <v>1490885</v>
      </c>
      <c r="E7" s="346" t="s">
        <v>523</v>
      </c>
      <c r="F7" s="348">
        <v>35210000</v>
      </c>
      <c r="G7" s="348">
        <v>92393</v>
      </c>
      <c r="H7" s="370" t="s">
        <v>155</v>
      </c>
      <c r="I7" s="255" t="s">
        <v>54</v>
      </c>
      <c r="J7" s="350" t="s">
        <v>1411</v>
      </c>
      <c r="K7" s="255" t="s">
        <v>716</v>
      </c>
      <c r="L7" s="351" t="s">
        <v>705</v>
      </c>
      <c r="M7" s="255" t="s">
        <v>214</v>
      </c>
      <c r="N7" s="352"/>
      <c r="O7" s="353"/>
      <c r="P7" s="353"/>
      <c r="Q7" s="354"/>
      <c r="R7" s="354"/>
      <c r="S7" s="355"/>
      <c r="T7" s="128"/>
      <c r="U7" s="357"/>
      <c r="V7" s="358"/>
      <c r="W7" s="354"/>
      <c r="Y7" s="359"/>
      <c r="Z7" s="362" t="s">
        <v>1424</v>
      </c>
    </row>
    <row r="8" spans="1:35" s="62" customFormat="1" ht="16.5" customHeight="1">
      <c r="A8" s="344" t="s">
        <v>695</v>
      </c>
      <c r="B8" s="345" t="s">
        <v>1425</v>
      </c>
      <c r="C8" s="346" t="s">
        <v>1426</v>
      </c>
      <c r="D8" s="347">
        <v>710092</v>
      </c>
      <c r="E8" s="346" t="s">
        <v>1427</v>
      </c>
      <c r="F8" s="348">
        <v>31105000</v>
      </c>
      <c r="G8" s="348">
        <v>261609</v>
      </c>
      <c r="H8" s="349" t="s">
        <v>214</v>
      </c>
      <c r="I8" s="255" t="s">
        <v>52</v>
      </c>
      <c r="J8" s="350" t="s">
        <v>1411</v>
      </c>
      <c r="K8" s="255" t="s">
        <v>697</v>
      </c>
      <c r="L8" s="351" t="s">
        <v>698</v>
      </c>
      <c r="M8" s="255" t="s">
        <v>214</v>
      </c>
      <c r="N8" s="352"/>
      <c r="O8" s="353"/>
      <c r="P8" s="353"/>
      <c r="Q8" s="354"/>
      <c r="R8" s="354"/>
      <c r="S8" s="355"/>
      <c r="T8" s="128"/>
      <c r="U8" s="357"/>
      <c r="V8" s="358"/>
      <c r="W8" s="354"/>
      <c r="X8" s="128"/>
      <c r="Y8" s="359"/>
      <c r="Z8" s="360"/>
      <c r="AA8" s="128"/>
      <c r="AB8" s="128"/>
      <c r="AC8" s="128"/>
      <c r="AD8" s="128"/>
      <c r="AE8" s="128"/>
      <c r="AF8" s="128"/>
      <c r="AG8" s="128"/>
      <c r="AH8" s="128"/>
      <c r="AI8" s="128"/>
    </row>
    <row r="9" spans="1:35" s="62" customFormat="1" ht="16.5" customHeight="1">
      <c r="A9" s="344" t="s">
        <v>796</v>
      </c>
      <c r="B9" s="345" t="s">
        <v>1428</v>
      </c>
      <c r="C9" s="346" t="s">
        <v>998</v>
      </c>
      <c r="D9" s="347">
        <v>578647</v>
      </c>
      <c r="E9" s="346" t="s">
        <v>998</v>
      </c>
      <c r="F9" s="348">
        <v>24000000</v>
      </c>
      <c r="G9" s="348">
        <v>1230610</v>
      </c>
      <c r="H9" s="349" t="s">
        <v>214</v>
      </c>
      <c r="I9" s="255" t="s">
        <v>50</v>
      </c>
      <c r="J9" s="350" t="s">
        <v>1411</v>
      </c>
      <c r="K9" s="255" t="s">
        <v>1422</v>
      </c>
      <c r="L9" s="351" t="s">
        <v>698</v>
      </c>
      <c r="M9" s="255" t="s">
        <v>214</v>
      </c>
      <c r="N9" s="352"/>
      <c r="O9" s="353"/>
      <c r="P9" s="353"/>
      <c r="Q9" s="354"/>
      <c r="R9" s="354"/>
      <c r="S9" s="355"/>
      <c r="T9" s="356"/>
      <c r="U9" s="357"/>
      <c r="V9" s="358"/>
      <c r="W9" s="354"/>
      <c r="X9" s="356"/>
      <c r="Y9" s="359"/>
      <c r="Z9" s="369" t="s">
        <v>1429</v>
      </c>
      <c r="AA9" s="356"/>
      <c r="AB9" s="356"/>
      <c r="AC9" s="356"/>
      <c r="AD9" s="356"/>
      <c r="AE9" s="128"/>
      <c r="AF9" s="128"/>
      <c r="AG9" s="128"/>
      <c r="AH9" s="128"/>
      <c r="AI9" s="128"/>
    </row>
    <row r="10" spans="1:35" ht="16.5" customHeight="1">
      <c r="A10" s="344" t="s">
        <v>804</v>
      </c>
      <c r="B10" s="345" t="s">
        <v>1430</v>
      </c>
      <c r="C10" s="346" t="s">
        <v>1431</v>
      </c>
      <c r="D10" s="347">
        <v>1214633</v>
      </c>
      <c r="E10" s="346" t="s">
        <v>1432</v>
      </c>
      <c r="F10" s="348">
        <v>6608800</v>
      </c>
      <c r="G10" s="348">
        <v>1214260</v>
      </c>
      <c r="H10" s="370" t="s">
        <v>155</v>
      </c>
      <c r="I10" s="255" t="s">
        <v>50</v>
      </c>
      <c r="J10" s="350" t="s">
        <v>1411</v>
      </c>
      <c r="K10" s="255" t="s">
        <v>749</v>
      </c>
      <c r="L10" s="351" t="s">
        <v>698</v>
      </c>
      <c r="M10" s="255" t="s">
        <v>214</v>
      </c>
      <c r="N10" s="352"/>
      <c r="O10" s="353"/>
      <c r="P10" s="353"/>
      <c r="Q10" s="354"/>
      <c r="R10" s="354"/>
      <c r="S10" s="355"/>
      <c r="T10" s="128"/>
      <c r="U10" s="357"/>
      <c r="V10" s="358"/>
      <c r="W10" s="354"/>
      <c r="Y10" s="359"/>
      <c r="Z10" s="369" t="s">
        <v>1433</v>
      </c>
      <c r="AA10" s="356"/>
      <c r="AB10" s="356"/>
      <c r="AC10" s="356"/>
      <c r="AD10" s="356"/>
    </row>
    <row r="11" spans="1:35" ht="16.5" customHeight="1">
      <c r="A11" s="344" t="s">
        <v>706</v>
      </c>
      <c r="B11" s="345" t="s">
        <v>1434</v>
      </c>
      <c r="C11" s="371" t="s">
        <v>988</v>
      </c>
      <c r="D11" s="347">
        <v>587408</v>
      </c>
      <c r="E11" s="346" t="s">
        <v>989</v>
      </c>
      <c r="F11" s="348">
        <v>6000000</v>
      </c>
      <c r="G11" s="348">
        <v>1076532</v>
      </c>
      <c r="H11" s="349" t="s">
        <v>214</v>
      </c>
      <c r="I11" s="255" t="s">
        <v>50</v>
      </c>
      <c r="J11" s="350" t="s">
        <v>1411</v>
      </c>
      <c r="K11" s="255" t="s">
        <v>776</v>
      </c>
      <c r="L11" s="351" t="s">
        <v>707</v>
      </c>
      <c r="M11" s="255" t="s">
        <v>214</v>
      </c>
      <c r="N11" s="352"/>
      <c r="O11" s="353"/>
      <c r="P11" s="353"/>
      <c r="Q11" s="354"/>
      <c r="R11" s="354"/>
      <c r="S11" s="355"/>
      <c r="T11" s="356"/>
      <c r="U11" s="357"/>
      <c r="V11" s="358"/>
      <c r="W11" s="354"/>
      <c r="X11" s="356"/>
      <c r="Y11" s="359"/>
      <c r="Z11" s="369"/>
    </row>
    <row r="12" spans="1:35" ht="16.5" customHeight="1">
      <c r="A12" s="344" t="s">
        <v>823</v>
      </c>
      <c r="B12" s="345" t="s">
        <v>1435</v>
      </c>
      <c r="C12" s="346" t="s">
        <v>442</v>
      </c>
      <c r="D12" s="347">
        <v>2483842</v>
      </c>
      <c r="E12" s="346" t="s">
        <v>442</v>
      </c>
      <c r="F12" s="348">
        <v>5713400</v>
      </c>
      <c r="G12" s="348">
        <v>20597</v>
      </c>
      <c r="H12" s="370" t="s">
        <v>155</v>
      </c>
      <c r="I12" s="255" t="s">
        <v>54</v>
      </c>
      <c r="J12" s="350" t="s">
        <v>1411</v>
      </c>
      <c r="K12" s="255" t="s">
        <v>716</v>
      </c>
      <c r="L12" s="351" t="s">
        <v>698</v>
      </c>
      <c r="M12" s="255" t="s">
        <v>214</v>
      </c>
      <c r="N12" s="352"/>
      <c r="O12" s="353"/>
      <c r="P12" s="353"/>
      <c r="Q12" s="354"/>
      <c r="R12" s="354"/>
      <c r="S12" s="355"/>
      <c r="T12" s="356"/>
      <c r="U12" s="357"/>
      <c r="V12" s="358"/>
      <c r="W12" s="354"/>
      <c r="X12" s="356"/>
      <c r="Y12" s="359"/>
      <c r="Z12" s="369" t="s">
        <v>1436</v>
      </c>
    </row>
    <row r="13" spans="1:35" ht="16.5" customHeight="1">
      <c r="A13" s="344" t="s">
        <v>723</v>
      </c>
      <c r="B13" s="345" t="s">
        <v>1437</v>
      </c>
      <c r="C13" s="346" t="s">
        <v>1438</v>
      </c>
      <c r="D13" s="347">
        <v>535905</v>
      </c>
      <c r="E13" s="346" t="s">
        <v>1439</v>
      </c>
      <c r="F13" s="348">
        <v>4520000</v>
      </c>
      <c r="G13" s="348">
        <v>8419339</v>
      </c>
      <c r="H13" s="349" t="s">
        <v>214</v>
      </c>
      <c r="I13" s="255" t="s">
        <v>50</v>
      </c>
      <c r="J13" s="350" t="s">
        <v>1411</v>
      </c>
      <c r="K13" s="255" t="s">
        <v>749</v>
      </c>
      <c r="L13" s="351" t="s">
        <v>698</v>
      </c>
      <c r="M13" s="255" t="s">
        <v>214</v>
      </c>
      <c r="N13" s="352"/>
      <c r="O13" s="353"/>
      <c r="P13" s="353"/>
      <c r="Q13" s="354"/>
      <c r="R13" s="354"/>
      <c r="S13" s="355"/>
      <c r="T13" s="356"/>
      <c r="U13" s="357"/>
      <c r="V13" s="358"/>
      <c r="W13" s="354"/>
      <c r="X13" s="356"/>
      <c r="Y13" s="359"/>
      <c r="Z13" s="369"/>
      <c r="AA13" s="356"/>
      <c r="AB13" s="356"/>
      <c r="AC13" s="356"/>
      <c r="AD13" s="356"/>
    </row>
    <row r="14" spans="1:35" s="62" customFormat="1" ht="16.5" customHeight="1">
      <c r="A14" s="344" t="s">
        <v>702</v>
      </c>
      <c r="B14" s="345" t="s">
        <v>1440</v>
      </c>
      <c r="C14" s="346" t="s">
        <v>1441</v>
      </c>
      <c r="D14" s="347">
        <v>760765</v>
      </c>
      <c r="E14" s="346" t="s">
        <v>1442</v>
      </c>
      <c r="F14" s="348">
        <v>4000000</v>
      </c>
      <c r="G14" s="348">
        <v>11350465</v>
      </c>
      <c r="H14" s="349" t="s">
        <v>214</v>
      </c>
      <c r="I14" s="255" t="s">
        <v>48</v>
      </c>
      <c r="J14" s="350" t="s">
        <v>1411</v>
      </c>
      <c r="K14" s="255" t="s">
        <v>704</v>
      </c>
      <c r="L14" s="351" t="s">
        <v>705</v>
      </c>
      <c r="M14" s="255" t="s">
        <v>214</v>
      </c>
      <c r="N14" s="352"/>
      <c r="O14" s="353"/>
      <c r="P14" s="353"/>
      <c r="Q14" s="354"/>
      <c r="R14" s="354"/>
      <c r="S14" s="355"/>
      <c r="T14" s="128"/>
      <c r="U14" s="357"/>
      <c r="V14" s="358"/>
      <c r="W14" s="354"/>
      <c r="X14" s="128"/>
      <c r="Y14" s="359"/>
      <c r="Z14" s="369" t="s">
        <v>1443</v>
      </c>
      <c r="AA14" s="128"/>
      <c r="AB14" s="128"/>
      <c r="AC14" s="128"/>
      <c r="AD14" s="128"/>
      <c r="AE14" s="128"/>
      <c r="AF14" s="128"/>
      <c r="AG14" s="128"/>
      <c r="AH14" s="128"/>
      <c r="AI14" s="128"/>
    </row>
    <row r="15" spans="1:35" ht="16.5" customHeight="1">
      <c r="A15" s="344" t="s">
        <v>702</v>
      </c>
      <c r="B15" s="345" t="s">
        <v>1444</v>
      </c>
      <c r="C15" s="346" t="s">
        <v>896</v>
      </c>
      <c r="D15" s="347">
        <v>930789</v>
      </c>
      <c r="E15" s="346" t="s">
        <v>897</v>
      </c>
      <c r="F15" s="348">
        <v>2050000</v>
      </c>
      <c r="G15" s="348">
        <v>275355</v>
      </c>
      <c r="H15" s="349" t="s">
        <v>214</v>
      </c>
      <c r="I15" s="255" t="s">
        <v>52</v>
      </c>
      <c r="J15" s="350" t="s">
        <v>1411</v>
      </c>
      <c r="K15" s="255" t="s">
        <v>716</v>
      </c>
      <c r="L15" s="351" t="s">
        <v>707</v>
      </c>
      <c r="M15" s="255" t="s">
        <v>214</v>
      </c>
      <c r="N15" s="352"/>
      <c r="O15" s="353"/>
      <c r="P15" s="353"/>
      <c r="Q15" s="354"/>
      <c r="R15" s="354"/>
      <c r="S15" s="355"/>
      <c r="T15" s="128"/>
      <c r="U15" s="357"/>
      <c r="V15" s="358"/>
      <c r="W15" s="354"/>
      <c r="Y15" s="359"/>
      <c r="Z15" s="360"/>
      <c r="AA15" s="356"/>
      <c r="AB15" s="356"/>
      <c r="AC15" s="356"/>
      <c r="AD15" s="356"/>
    </row>
    <row r="16" spans="1:35" ht="16.5" customHeight="1">
      <c r="A16" s="344" t="s">
        <v>823</v>
      </c>
      <c r="B16" s="345" t="s">
        <v>945</v>
      </c>
      <c r="C16" s="346" t="s">
        <v>946</v>
      </c>
      <c r="D16" s="347">
        <v>644222</v>
      </c>
      <c r="E16" s="346" t="s">
        <v>947</v>
      </c>
      <c r="F16" s="348">
        <v>1835000</v>
      </c>
      <c r="G16" s="348">
        <v>1000077</v>
      </c>
      <c r="H16" s="349" t="s">
        <v>214</v>
      </c>
      <c r="I16" s="255" t="s">
        <v>50</v>
      </c>
      <c r="J16" s="350" t="s">
        <v>1411</v>
      </c>
      <c r="K16" s="255" t="s">
        <v>716</v>
      </c>
      <c r="L16" s="351" t="s">
        <v>707</v>
      </c>
      <c r="M16" s="255" t="s">
        <v>214</v>
      </c>
      <c r="N16" s="352"/>
      <c r="O16" s="353"/>
      <c r="P16" s="353"/>
      <c r="Q16" s="354"/>
      <c r="R16" s="354"/>
      <c r="S16" s="355"/>
      <c r="T16" s="128"/>
      <c r="U16" s="357"/>
      <c r="V16" s="358"/>
      <c r="W16" s="354"/>
      <c r="Y16" s="359"/>
      <c r="Z16" s="360"/>
    </row>
    <row r="17" spans="1:35" ht="16.5" customHeight="1">
      <c r="A17" s="372" t="s">
        <v>702</v>
      </c>
      <c r="B17" s="345" t="s">
        <v>1445</v>
      </c>
      <c r="C17" s="346" t="s">
        <v>1446</v>
      </c>
      <c r="D17" s="347">
        <v>929555</v>
      </c>
      <c r="E17" s="346" t="s">
        <v>1447</v>
      </c>
      <c r="F17" s="348">
        <v>710625</v>
      </c>
      <c r="G17" s="348">
        <v>268299</v>
      </c>
      <c r="H17" s="349" t="s">
        <v>214</v>
      </c>
      <c r="I17" s="255" t="s">
        <v>52</v>
      </c>
      <c r="J17" s="350" t="s">
        <v>1411</v>
      </c>
      <c r="K17" s="255" t="s">
        <v>704</v>
      </c>
      <c r="L17" s="351" t="s">
        <v>707</v>
      </c>
      <c r="M17" s="255" t="s">
        <v>214</v>
      </c>
      <c r="N17" s="352"/>
      <c r="O17" s="353"/>
      <c r="P17" s="353"/>
      <c r="Q17" s="354"/>
      <c r="R17" s="354"/>
      <c r="S17" s="355"/>
      <c r="T17" s="128"/>
      <c r="U17" s="357"/>
      <c r="V17" s="358"/>
      <c r="W17" s="354"/>
      <c r="Y17" s="359"/>
      <c r="Z17" s="373"/>
    </row>
    <row r="18" spans="1:35" ht="16.5" customHeight="1">
      <c r="A18" s="372" t="s">
        <v>714</v>
      </c>
      <c r="B18" s="345" t="s">
        <v>1448</v>
      </c>
      <c r="C18" s="346" t="s">
        <v>1449</v>
      </c>
      <c r="D18" s="347">
        <v>643330</v>
      </c>
      <c r="E18" s="346" t="s">
        <v>1450</v>
      </c>
      <c r="F18" s="348">
        <v>528750</v>
      </c>
      <c r="G18" s="348">
        <v>152645</v>
      </c>
      <c r="H18" s="349" t="s">
        <v>214</v>
      </c>
      <c r="I18" s="255" t="s">
        <v>52</v>
      </c>
      <c r="J18" s="350" t="s">
        <v>1411</v>
      </c>
      <c r="K18" s="255" t="s">
        <v>716</v>
      </c>
      <c r="L18" s="351" t="s">
        <v>707</v>
      </c>
      <c r="M18" s="255" t="s">
        <v>214</v>
      </c>
      <c r="N18" s="352"/>
      <c r="O18" s="353"/>
      <c r="P18" s="353"/>
      <c r="Q18" s="354"/>
      <c r="R18" s="354"/>
      <c r="S18" s="355"/>
      <c r="T18" s="128"/>
      <c r="U18" s="357"/>
      <c r="V18" s="358"/>
      <c r="W18" s="354"/>
      <c r="Y18" s="359"/>
      <c r="Z18" s="360"/>
    </row>
    <row r="19" spans="1:35" ht="16.5" customHeight="1">
      <c r="A19" s="361" t="s">
        <v>695</v>
      </c>
      <c r="B19" s="345" t="s">
        <v>1451</v>
      </c>
      <c r="C19" s="346" t="s">
        <v>1452</v>
      </c>
      <c r="D19" s="347">
        <v>4315794</v>
      </c>
      <c r="E19" s="346" t="s">
        <v>1453</v>
      </c>
      <c r="F19" s="348"/>
      <c r="G19" s="348">
        <v>144257</v>
      </c>
      <c r="H19" s="370" t="s">
        <v>155</v>
      </c>
      <c r="I19" s="255" t="s">
        <v>52</v>
      </c>
      <c r="J19" s="350" t="s">
        <v>1411</v>
      </c>
      <c r="K19" s="255" t="s">
        <v>697</v>
      </c>
      <c r="L19" s="351" t="s">
        <v>707</v>
      </c>
      <c r="M19" s="255" t="s">
        <v>155</v>
      </c>
      <c r="N19" s="352"/>
      <c r="O19" s="353"/>
      <c r="P19" s="353"/>
      <c r="Q19" s="354"/>
      <c r="R19" s="354"/>
      <c r="S19" s="355"/>
      <c r="T19" s="356"/>
      <c r="U19" s="357"/>
      <c r="V19" s="358"/>
      <c r="W19" s="354"/>
      <c r="X19" s="356"/>
      <c r="Y19" s="359"/>
      <c r="Z19" s="369"/>
      <c r="AA19" s="356"/>
      <c r="AB19" s="356"/>
      <c r="AC19" s="356"/>
      <c r="AD19" s="356"/>
    </row>
    <row r="20" spans="1:35" s="62" customFormat="1" ht="16.5" customHeight="1">
      <c r="A20" s="344" t="s">
        <v>723</v>
      </c>
      <c r="B20" s="345" t="s">
        <v>1454</v>
      </c>
      <c r="C20" s="346" t="s">
        <v>1455</v>
      </c>
      <c r="D20" s="347">
        <v>2229066</v>
      </c>
      <c r="E20" s="346" t="s">
        <v>1456</v>
      </c>
      <c r="F20" s="348"/>
      <c r="G20" s="348">
        <v>3842619</v>
      </c>
      <c r="H20" s="370" t="s">
        <v>155</v>
      </c>
      <c r="I20" s="255" t="s">
        <v>50</v>
      </c>
      <c r="J20" s="350" t="s">
        <v>1411</v>
      </c>
      <c r="K20" s="255" t="s">
        <v>776</v>
      </c>
      <c r="L20" s="351" t="s">
        <v>698</v>
      </c>
      <c r="M20" s="255" t="s">
        <v>214</v>
      </c>
      <c r="N20" s="352" t="s">
        <v>214</v>
      </c>
      <c r="O20" s="353">
        <v>100336</v>
      </c>
      <c r="P20" s="353" t="s">
        <v>1457</v>
      </c>
      <c r="Q20" s="354"/>
      <c r="R20" s="354"/>
      <c r="S20" s="355"/>
      <c r="T20" s="128"/>
      <c r="U20" s="357"/>
      <c r="V20" s="358"/>
      <c r="W20" s="255"/>
      <c r="X20" s="128"/>
      <c r="Y20" s="359"/>
      <c r="Z20" s="369" t="s">
        <v>1458</v>
      </c>
      <c r="AA20" s="128"/>
      <c r="AB20" s="128"/>
      <c r="AC20" s="128"/>
      <c r="AD20" s="128"/>
      <c r="AE20" s="128"/>
      <c r="AF20" s="128"/>
      <c r="AG20" s="128"/>
      <c r="AH20" s="128"/>
      <c r="AI20" s="128"/>
    </row>
    <row r="21" spans="1:35" s="217" customFormat="1" ht="16.5" customHeight="1">
      <c r="A21" s="361" t="s">
        <v>723</v>
      </c>
      <c r="B21" s="345" t="s">
        <v>1459</v>
      </c>
      <c r="C21" s="346" t="s">
        <v>831</v>
      </c>
      <c r="D21" s="348">
        <v>1636419</v>
      </c>
      <c r="E21" s="346" t="s">
        <v>831</v>
      </c>
      <c r="F21" s="348"/>
      <c r="G21" s="348">
        <v>805527</v>
      </c>
      <c r="H21" s="370" t="s">
        <v>155</v>
      </c>
      <c r="I21" s="255" t="s">
        <v>52</v>
      </c>
      <c r="J21" s="350" t="s">
        <v>1411</v>
      </c>
      <c r="K21" s="255" t="s">
        <v>776</v>
      </c>
      <c r="L21" s="351" t="s">
        <v>698</v>
      </c>
      <c r="M21" s="255" t="s">
        <v>155</v>
      </c>
      <c r="N21" s="255"/>
      <c r="O21" s="255"/>
      <c r="P21" s="255"/>
      <c r="Q21" s="218"/>
      <c r="R21" s="218"/>
      <c r="S21" s="355"/>
      <c r="T21" s="128"/>
      <c r="U21" s="291"/>
      <c r="V21" s="358"/>
      <c r="W21" s="218"/>
      <c r="X21" s="128"/>
      <c r="Y21" s="218"/>
      <c r="Z21" s="276" t="s">
        <v>1460</v>
      </c>
      <c r="AA21" s="128"/>
      <c r="AB21" s="128"/>
      <c r="AC21" s="128"/>
      <c r="AD21" s="128"/>
      <c r="AE21" s="356"/>
      <c r="AF21" s="356"/>
      <c r="AG21" s="356"/>
      <c r="AH21" s="356"/>
      <c r="AI21" s="356"/>
    </row>
    <row r="22" spans="1:35" s="62" customFormat="1" ht="16.5" customHeight="1">
      <c r="A22" s="344" t="s">
        <v>695</v>
      </c>
      <c r="B22" s="345" t="s">
        <v>1461</v>
      </c>
      <c r="C22" s="346" t="s">
        <v>1462</v>
      </c>
      <c r="D22" s="347">
        <v>1328975</v>
      </c>
      <c r="E22" s="346" t="s">
        <v>1463</v>
      </c>
      <c r="F22" s="348"/>
      <c r="G22" s="348">
        <v>74829</v>
      </c>
      <c r="H22" s="370" t="s">
        <v>155</v>
      </c>
      <c r="I22" s="255" t="s">
        <v>54</v>
      </c>
      <c r="J22" s="350" t="s">
        <v>1411</v>
      </c>
      <c r="K22" s="255" t="s">
        <v>697</v>
      </c>
      <c r="L22" s="351" t="s">
        <v>698</v>
      </c>
      <c r="M22" s="255" t="s">
        <v>214</v>
      </c>
      <c r="N22" s="352"/>
      <c r="O22" s="353"/>
      <c r="P22" s="353"/>
      <c r="Q22" s="354"/>
      <c r="R22" s="354"/>
      <c r="S22" s="355"/>
      <c r="T22" s="128"/>
      <c r="U22" s="357"/>
      <c r="V22" s="358"/>
      <c r="W22" s="354"/>
      <c r="X22" s="128"/>
      <c r="Y22" s="359"/>
      <c r="Z22" s="369"/>
      <c r="AA22" s="356"/>
      <c r="AB22" s="356"/>
      <c r="AC22" s="356"/>
      <c r="AD22" s="356"/>
      <c r="AE22" s="128"/>
      <c r="AF22" s="128"/>
      <c r="AG22" s="128"/>
      <c r="AH22" s="128"/>
      <c r="AI22" s="128"/>
    </row>
    <row r="23" spans="1:35" ht="16.5" customHeight="1">
      <c r="A23" s="361" t="s">
        <v>702</v>
      </c>
      <c r="B23" s="345" t="s">
        <v>1464</v>
      </c>
      <c r="C23" s="346" t="s">
        <v>829</v>
      </c>
      <c r="D23" s="348">
        <v>1296099</v>
      </c>
      <c r="E23" s="346" t="s">
        <v>830</v>
      </c>
      <c r="F23" s="348"/>
      <c r="G23" s="348">
        <v>3404618</v>
      </c>
      <c r="H23" s="370" t="s">
        <v>155</v>
      </c>
      <c r="I23" s="255" t="s">
        <v>50</v>
      </c>
      <c r="J23" s="350" t="s">
        <v>1411</v>
      </c>
      <c r="K23" s="255" t="s">
        <v>697</v>
      </c>
      <c r="L23" s="351" t="s">
        <v>698</v>
      </c>
      <c r="M23" s="255" t="s">
        <v>214</v>
      </c>
      <c r="N23" s="255"/>
      <c r="O23" s="255"/>
      <c r="P23" s="255"/>
      <c r="Q23" s="218"/>
      <c r="R23" s="218"/>
      <c r="S23" s="355"/>
      <c r="T23" s="128"/>
      <c r="U23" s="291"/>
      <c r="V23" s="358"/>
      <c r="W23" s="218"/>
      <c r="Y23" s="218"/>
      <c r="Z23" s="276"/>
      <c r="AA23" s="356"/>
      <c r="AB23" s="356"/>
      <c r="AC23" s="356"/>
      <c r="AD23" s="356"/>
    </row>
    <row r="24" spans="1:35" ht="16.5" customHeight="1">
      <c r="A24" s="372" t="s">
        <v>706</v>
      </c>
      <c r="B24" s="345" t="s">
        <v>1465</v>
      </c>
      <c r="C24" s="346" t="s">
        <v>863</v>
      </c>
      <c r="D24" s="347">
        <v>1146026</v>
      </c>
      <c r="E24" s="346" t="s">
        <v>864</v>
      </c>
      <c r="F24" s="348"/>
      <c r="G24" s="348">
        <v>118879</v>
      </c>
      <c r="H24" s="370" t="s">
        <v>155</v>
      </c>
      <c r="I24" s="255" t="s">
        <v>52</v>
      </c>
      <c r="J24" s="350" t="s">
        <v>1411</v>
      </c>
      <c r="K24" s="255" t="s">
        <v>697</v>
      </c>
      <c r="L24" s="351" t="s">
        <v>707</v>
      </c>
      <c r="M24" s="255" t="s">
        <v>214</v>
      </c>
      <c r="N24" s="352"/>
      <c r="O24" s="353"/>
      <c r="P24" s="353"/>
      <c r="Q24" s="354"/>
      <c r="R24" s="354"/>
      <c r="S24" s="355"/>
      <c r="T24" s="356"/>
      <c r="U24" s="357"/>
      <c r="V24" s="358"/>
      <c r="W24" s="354"/>
      <c r="X24" s="356"/>
      <c r="Y24" s="359"/>
      <c r="Z24" s="374"/>
      <c r="AA24" s="356"/>
      <c r="AB24" s="356"/>
      <c r="AC24" s="356"/>
      <c r="AD24" s="356"/>
    </row>
    <row r="25" spans="1:35" ht="16.5" customHeight="1">
      <c r="A25" s="372" t="s">
        <v>1466</v>
      </c>
      <c r="B25" s="345" t="s">
        <v>1467</v>
      </c>
      <c r="C25" s="346" t="s">
        <v>1468</v>
      </c>
      <c r="D25" s="347">
        <v>1129959</v>
      </c>
      <c r="E25" s="346" t="s">
        <v>1469</v>
      </c>
      <c r="F25" s="348"/>
      <c r="G25" s="348">
        <v>4182</v>
      </c>
      <c r="H25" s="370" t="s">
        <v>155</v>
      </c>
      <c r="I25" s="255" t="s">
        <v>54</v>
      </c>
      <c r="J25" s="350" t="s">
        <v>1411</v>
      </c>
      <c r="K25" s="255" t="s">
        <v>749</v>
      </c>
      <c r="L25" s="351" t="s">
        <v>698</v>
      </c>
      <c r="M25" s="255" t="s">
        <v>214</v>
      </c>
      <c r="N25" s="352"/>
      <c r="O25" s="353"/>
      <c r="P25" s="353"/>
      <c r="Q25" s="354"/>
      <c r="R25" s="354"/>
      <c r="S25" s="355"/>
      <c r="T25" s="128"/>
      <c r="U25" s="357"/>
      <c r="V25" s="358"/>
      <c r="W25" s="354"/>
      <c r="Y25" s="359"/>
      <c r="Z25" s="374"/>
      <c r="AA25" s="356"/>
      <c r="AB25" s="356"/>
      <c r="AC25" s="356"/>
      <c r="AD25" s="356"/>
    </row>
    <row r="26" spans="1:35" ht="16.5" customHeight="1">
      <c r="A26" s="344" t="s">
        <v>723</v>
      </c>
      <c r="B26" s="345" t="s">
        <v>1470</v>
      </c>
      <c r="C26" s="346" t="s">
        <v>1471</v>
      </c>
      <c r="D26" s="347">
        <v>1101637</v>
      </c>
      <c r="E26" s="346" t="s">
        <v>1472</v>
      </c>
      <c r="F26" s="348"/>
      <c r="G26" s="348">
        <v>955083</v>
      </c>
      <c r="H26" s="370" t="s">
        <v>155</v>
      </c>
      <c r="I26" s="255" t="s">
        <v>52</v>
      </c>
      <c r="J26" s="350" t="s">
        <v>1411</v>
      </c>
      <c r="K26" s="255" t="s">
        <v>776</v>
      </c>
      <c r="L26" s="351" t="s">
        <v>698</v>
      </c>
      <c r="M26" s="255" t="s">
        <v>214</v>
      </c>
      <c r="N26" s="352"/>
      <c r="O26" s="353"/>
      <c r="P26" s="353"/>
      <c r="Q26" s="354"/>
      <c r="R26" s="354"/>
      <c r="S26" s="355"/>
      <c r="T26" s="356"/>
      <c r="U26" s="357"/>
      <c r="V26" s="358"/>
      <c r="W26" s="354"/>
      <c r="X26" s="356"/>
      <c r="Y26" s="359"/>
      <c r="Z26" s="369"/>
      <c r="AA26" s="356"/>
      <c r="AB26" s="356"/>
      <c r="AC26" s="356"/>
      <c r="AD26" s="356"/>
    </row>
    <row r="27" spans="1:35" s="217" customFormat="1" ht="16.5" customHeight="1">
      <c r="A27" s="344" t="s">
        <v>702</v>
      </c>
      <c r="B27" s="345" t="s">
        <v>1473</v>
      </c>
      <c r="C27" s="346" t="s">
        <v>1474</v>
      </c>
      <c r="D27" s="347">
        <v>1090925</v>
      </c>
      <c r="E27" s="346" t="s">
        <v>1475</v>
      </c>
      <c r="F27" s="348"/>
      <c r="G27" s="348">
        <v>224890</v>
      </c>
      <c r="H27" s="370" t="s">
        <v>155</v>
      </c>
      <c r="I27" s="255" t="s">
        <v>52</v>
      </c>
      <c r="J27" s="350" t="s">
        <v>1411</v>
      </c>
      <c r="K27" s="255" t="s">
        <v>713</v>
      </c>
      <c r="L27" s="351" t="s">
        <v>698</v>
      </c>
      <c r="M27" s="255" t="s">
        <v>155</v>
      </c>
      <c r="N27" s="352"/>
      <c r="O27" s="353"/>
      <c r="P27" s="353"/>
      <c r="Q27" s="354"/>
      <c r="R27" s="354"/>
      <c r="S27" s="355"/>
      <c r="T27" s="128"/>
      <c r="U27" s="357"/>
      <c r="V27" s="358"/>
      <c r="W27" s="354"/>
      <c r="X27" s="128"/>
      <c r="Y27" s="359"/>
      <c r="Z27" s="369"/>
      <c r="AA27" s="356"/>
      <c r="AB27" s="356"/>
      <c r="AC27" s="356"/>
      <c r="AD27" s="356"/>
      <c r="AE27" s="356"/>
      <c r="AF27" s="356"/>
      <c r="AG27" s="356"/>
      <c r="AH27" s="356"/>
      <c r="AI27" s="356"/>
    </row>
    <row r="28" spans="1:35" s="217" customFormat="1" ht="16.5" customHeight="1">
      <c r="A28" s="372" t="s">
        <v>706</v>
      </c>
      <c r="B28" s="345" t="s">
        <v>1476</v>
      </c>
      <c r="C28" s="346" t="s">
        <v>1477</v>
      </c>
      <c r="D28" s="347">
        <v>1047958</v>
      </c>
      <c r="E28" s="346" t="s">
        <v>1478</v>
      </c>
      <c r="F28" s="348"/>
      <c r="G28" s="348">
        <v>147</v>
      </c>
      <c r="H28" s="370" t="s">
        <v>155</v>
      </c>
      <c r="I28" s="255" t="s">
        <v>54</v>
      </c>
      <c r="J28" s="350" t="s">
        <v>1411</v>
      </c>
      <c r="K28" s="255" t="s">
        <v>776</v>
      </c>
      <c r="L28" s="351" t="s">
        <v>705</v>
      </c>
      <c r="M28" s="255" t="s">
        <v>214</v>
      </c>
      <c r="N28" s="352"/>
      <c r="O28" s="353"/>
      <c r="P28" s="353"/>
      <c r="Q28" s="354"/>
      <c r="R28" s="354"/>
      <c r="S28" s="355"/>
      <c r="T28" s="128"/>
      <c r="U28" s="357"/>
      <c r="V28" s="358"/>
      <c r="W28" s="354"/>
      <c r="X28" s="128"/>
      <c r="Y28" s="359"/>
      <c r="Z28" s="374"/>
      <c r="AA28" s="356"/>
      <c r="AB28" s="356"/>
      <c r="AC28" s="356"/>
      <c r="AD28" s="356"/>
      <c r="AE28" s="356"/>
      <c r="AF28" s="356"/>
      <c r="AG28" s="356"/>
      <c r="AH28" s="356"/>
      <c r="AI28" s="356"/>
    </row>
    <row r="29" spans="1:35" ht="16.5" customHeight="1">
      <c r="A29" s="372" t="s">
        <v>804</v>
      </c>
      <c r="B29" s="345" t="s">
        <v>1479</v>
      </c>
      <c r="C29" s="346" t="s">
        <v>1480</v>
      </c>
      <c r="D29" s="347">
        <v>1047815</v>
      </c>
      <c r="E29" s="346" t="s">
        <v>1481</v>
      </c>
      <c r="F29" s="348"/>
      <c r="G29" s="348">
        <v>88163</v>
      </c>
      <c r="H29" s="370" t="s">
        <v>155</v>
      </c>
      <c r="I29" s="255" t="s">
        <v>54</v>
      </c>
      <c r="J29" s="350" t="s">
        <v>1411</v>
      </c>
      <c r="K29" s="255" t="s">
        <v>749</v>
      </c>
      <c r="L29" s="351" t="s">
        <v>705</v>
      </c>
      <c r="M29" s="255" t="s">
        <v>214</v>
      </c>
      <c r="N29" s="352"/>
      <c r="O29" s="353"/>
      <c r="P29" s="353"/>
      <c r="Q29" s="354"/>
      <c r="R29" s="354"/>
      <c r="S29" s="355"/>
      <c r="T29" s="128"/>
      <c r="U29" s="357"/>
      <c r="V29" s="358"/>
      <c r="W29" s="354"/>
      <c r="Y29" s="359"/>
      <c r="Z29" s="374"/>
    </row>
    <row r="30" spans="1:35" ht="16.5" customHeight="1">
      <c r="A30" s="344" t="s">
        <v>706</v>
      </c>
      <c r="B30" s="345" t="s">
        <v>1482</v>
      </c>
      <c r="C30" s="346" t="s">
        <v>1483</v>
      </c>
      <c r="D30" s="347">
        <v>888102</v>
      </c>
      <c r="E30" s="346" t="s">
        <v>1484</v>
      </c>
      <c r="F30" s="348"/>
      <c r="G30" s="348">
        <v>3289647</v>
      </c>
      <c r="H30" s="349" t="s">
        <v>214</v>
      </c>
      <c r="I30" s="255" t="s">
        <v>50</v>
      </c>
      <c r="J30" s="350" t="s">
        <v>1411</v>
      </c>
      <c r="K30" s="255" t="s">
        <v>749</v>
      </c>
      <c r="L30" s="351" t="s">
        <v>698</v>
      </c>
      <c r="M30" s="255" t="s">
        <v>214</v>
      </c>
      <c r="N30" s="352"/>
      <c r="O30" s="353"/>
      <c r="P30" s="353"/>
      <c r="Q30" s="354"/>
      <c r="R30" s="354"/>
      <c r="S30" s="355"/>
      <c r="T30" s="128"/>
      <c r="U30" s="357"/>
      <c r="V30" s="358"/>
      <c r="W30" s="354"/>
      <c r="Y30" s="359"/>
      <c r="Z30" s="369"/>
    </row>
    <row r="31" spans="1:35" ht="16.5" customHeight="1">
      <c r="A31" s="372" t="s">
        <v>695</v>
      </c>
      <c r="B31" s="345" t="s">
        <v>1485</v>
      </c>
      <c r="C31" s="346" t="s">
        <v>920</v>
      </c>
      <c r="D31" s="347">
        <v>830229</v>
      </c>
      <c r="E31" s="346" t="s">
        <v>921</v>
      </c>
      <c r="F31" s="348"/>
      <c r="G31" s="348">
        <v>157406</v>
      </c>
      <c r="H31" s="349" t="s">
        <v>214</v>
      </c>
      <c r="I31" s="255" t="s">
        <v>52</v>
      </c>
      <c r="J31" s="350" t="s">
        <v>1411</v>
      </c>
      <c r="K31" s="255" t="s">
        <v>697</v>
      </c>
      <c r="L31" s="351" t="s">
        <v>698</v>
      </c>
      <c r="M31" s="255" t="s">
        <v>214</v>
      </c>
      <c r="N31" s="352"/>
      <c r="O31" s="353"/>
      <c r="P31" s="353"/>
      <c r="Q31" s="354"/>
      <c r="R31" s="354"/>
      <c r="S31" s="355"/>
      <c r="T31" s="356"/>
      <c r="U31" s="357"/>
      <c r="V31" s="358"/>
      <c r="W31" s="354"/>
      <c r="X31" s="356"/>
      <c r="Y31" s="359"/>
      <c r="Z31" s="374"/>
      <c r="AA31" s="356"/>
      <c r="AB31" s="356"/>
      <c r="AC31" s="356"/>
      <c r="AD31" s="356"/>
    </row>
    <row r="32" spans="1:35" s="217" customFormat="1" ht="16.5" customHeight="1">
      <c r="A32" s="344" t="s">
        <v>702</v>
      </c>
      <c r="B32" s="345" t="s">
        <v>1486</v>
      </c>
      <c r="C32" s="346" t="s">
        <v>1487</v>
      </c>
      <c r="D32" s="347">
        <v>829901</v>
      </c>
      <c r="E32" s="346" t="s">
        <v>1488</v>
      </c>
      <c r="F32" s="348"/>
      <c r="G32" s="348">
        <v>50630</v>
      </c>
      <c r="H32" s="349" t="s">
        <v>214</v>
      </c>
      <c r="I32" s="255" t="s">
        <v>54</v>
      </c>
      <c r="J32" s="350" t="s">
        <v>1411</v>
      </c>
      <c r="K32" s="255" t="s">
        <v>746</v>
      </c>
      <c r="L32" s="351" t="s">
        <v>698</v>
      </c>
      <c r="M32" s="255" t="s">
        <v>214</v>
      </c>
      <c r="N32" s="352"/>
      <c r="O32" s="353"/>
      <c r="P32" s="353"/>
      <c r="Q32" s="354"/>
      <c r="R32" s="354"/>
      <c r="S32" s="355"/>
      <c r="T32" s="128"/>
      <c r="U32" s="357"/>
      <c r="V32" s="358"/>
      <c r="W32" s="354"/>
      <c r="X32" s="128"/>
      <c r="Y32" s="359"/>
      <c r="Z32" s="369"/>
      <c r="AA32" s="356"/>
      <c r="AB32" s="356"/>
      <c r="AC32" s="356"/>
      <c r="AD32" s="356"/>
      <c r="AE32" s="356"/>
      <c r="AF32" s="356"/>
      <c r="AG32" s="356"/>
      <c r="AH32" s="356"/>
      <c r="AI32" s="356"/>
    </row>
    <row r="33" spans="1:35" ht="16.5" customHeight="1">
      <c r="A33" s="361" t="s">
        <v>714</v>
      </c>
      <c r="B33" s="345" t="s">
        <v>1489</v>
      </c>
      <c r="C33" s="346" t="s">
        <v>1490</v>
      </c>
      <c r="D33" s="348">
        <v>684743</v>
      </c>
      <c r="E33" s="346" t="s">
        <v>1491</v>
      </c>
      <c r="F33" s="348"/>
      <c r="G33" s="348">
        <v>53529</v>
      </c>
      <c r="H33" s="349" t="s">
        <v>214</v>
      </c>
      <c r="I33" s="255" t="s">
        <v>54</v>
      </c>
      <c r="J33" s="350" t="s">
        <v>1411</v>
      </c>
      <c r="K33" s="255" t="s">
        <v>716</v>
      </c>
      <c r="L33" s="351" t="s">
        <v>698</v>
      </c>
      <c r="M33" s="255" t="s">
        <v>155</v>
      </c>
      <c r="N33" s="255"/>
      <c r="O33" s="255"/>
      <c r="P33" s="255"/>
      <c r="Q33" s="218"/>
      <c r="R33" s="218"/>
      <c r="S33" s="355"/>
      <c r="T33" s="128"/>
      <c r="U33" s="291"/>
      <c r="V33" s="358"/>
      <c r="W33" s="218"/>
      <c r="Y33" s="218"/>
      <c r="Z33" s="276"/>
      <c r="AA33" s="356"/>
      <c r="AB33" s="356"/>
      <c r="AC33" s="356"/>
      <c r="AD33" s="356"/>
    </row>
    <row r="34" spans="1:35" ht="16.5" customHeight="1">
      <c r="A34" s="344" t="s">
        <v>706</v>
      </c>
      <c r="B34" s="345" t="s">
        <v>1492</v>
      </c>
      <c r="C34" s="346" t="s">
        <v>1493</v>
      </c>
      <c r="D34" s="347">
        <v>572000</v>
      </c>
      <c r="E34" s="346" t="s">
        <v>1494</v>
      </c>
      <c r="F34" s="348"/>
      <c r="G34" s="348">
        <v>16949</v>
      </c>
      <c r="H34" s="349" t="s">
        <v>214</v>
      </c>
      <c r="I34" s="255" t="s">
        <v>54</v>
      </c>
      <c r="J34" s="350" t="s">
        <v>1411</v>
      </c>
      <c r="K34" s="255" t="s">
        <v>776</v>
      </c>
      <c r="L34" s="351" t="s">
        <v>705</v>
      </c>
      <c r="M34" s="255" t="s">
        <v>214</v>
      </c>
      <c r="N34" s="352"/>
      <c r="O34" s="353"/>
      <c r="P34" s="353"/>
      <c r="Q34" s="354"/>
      <c r="R34" s="354"/>
      <c r="S34" s="355"/>
      <c r="T34" s="356"/>
      <c r="U34" s="357"/>
      <c r="V34" s="358"/>
      <c r="W34" s="354"/>
      <c r="X34" s="356"/>
      <c r="Y34" s="359"/>
      <c r="Z34" s="369"/>
      <c r="AA34" s="356"/>
      <c r="AB34" s="356"/>
      <c r="AC34" s="356"/>
      <c r="AD34" s="356"/>
    </row>
    <row r="35" spans="1:35" ht="16.5" customHeight="1">
      <c r="A35" s="372" t="s">
        <v>702</v>
      </c>
      <c r="B35" s="345" t="s">
        <v>1495</v>
      </c>
      <c r="C35" s="346" t="s">
        <v>1496</v>
      </c>
      <c r="D35" s="347">
        <v>528052</v>
      </c>
      <c r="E35" s="346" t="s">
        <v>1497</v>
      </c>
      <c r="F35" s="348"/>
      <c r="G35" s="348" t="s">
        <v>16</v>
      </c>
      <c r="H35" s="349" t="s">
        <v>214</v>
      </c>
      <c r="I35" s="255" t="s">
        <v>54</v>
      </c>
      <c r="J35" s="350" t="s">
        <v>1411</v>
      </c>
      <c r="K35" s="255" t="s">
        <v>716</v>
      </c>
      <c r="L35" s="351" t="s">
        <v>698</v>
      </c>
      <c r="M35" s="255" t="s">
        <v>214</v>
      </c>
      <c r="N35" s="352"/>
      <c r="O35" s="353"/>
      <c r="P35" s="353"/>
      <c r="Q35" s="354"/>
      <c r="R35" s="354"/>
      <c r="S35" s="355"/>
      <c r="T35" s="128"/>
      <c r="U35" s="357"/>
      <c r="V35" s="358"/>
      <c r="W35" s="354"/>
      <c r="Y35" s="359"/>
      <c r="Z35" s="374"/>
      <c r="AA35" s="356"/>
      <c r="AB35" s="356"/>
      <c r="AC35" s="356"/>
      <c r="AD35" s="356"/>
    </row>
    <row r="36" spans="1:35" ht="16.5" customHeight="1">
      <c r="A36" s="344" t="s">
        <v>706</v>
      </c>
      <c r="B36" s="345" t="s">
        <v>1498</v>
      </c>
      <c r="C36" s="346" t="s">
        <v>1499</v>
      </c>
      <c r="D36" s="347">
        <v>518074</v>
      </c>
      <c r="E36" s="346" t="s">
        <v>1500</v>
      </c>
      <c r="F36" s="348"/>
      <c r="G36" s="348">
        <v>465</v>
      </c>
      <c r="H36" s="349" t="s">
        <v>214</v>
      </c>
      <c r="I36" s="255" t="s">
        <v>54</v>
      </c>
      <c r="J36" s="350" t="s">
        <v>1411</v>
      </c>
      <c r="K36" s="255" t="s">
        <v>776</v>
      </c>
      <c r="L36" s="351" t="s">
        <v>698</v>
      </c>
      <c r="M36" s="255" t="s">
        <v>214</v>
      </c>
      <c r="N36" s="352"/>
      <c r="O36" s="353"/>
      <c r="P36" s="353"/>
      <c r="Q36" s="375"/>
      <c r="R36" s="354"/>
      <c r="S36" s="355"/>
      <c r="T36" s="128"/>
      <c r="U36" s="357"/>
      <c r="V36" s="358"/>
      <c r="W36" s="354"/>
      <c r="Y36" s="359"/>
      <c r="Z36" s="369"/>
    </row>
    <row r="37" spans="1:35" ht="16.5" customHeight="1">
      <c r="A37" s="344" t="s">
        <v>695</v>
      </c>
      <c r="B37" s="345" t="s">
        <v>1501</v>
      </c>
      <c r="C37" s="346" t="s">
        <v>955</v>
      </c>
      <c r="D37" s="347">
        <v>516916</v>
      </c>
      <c r="E37" s="346" t="s">
        <v>955</v>
      </c>
      <c r="F37" s="348"/>
      <c r="G37" s="348">
        <v>4304503</v>
      </c>
      <c r="H37" s="349" t="s">
        <v>214</v>
      </c>
      <c r="I37" s="255" t="s">
        <v>50</v>
      </c>
      <c r="J37" s="350" t="s">
        <v>1411</v>
      </c>
      <c r="K37" s="255" t="s">
        <v>776</v>
      </c>
      <c r="L37" s="351" t="s">
        <v>698</v>
      </c>
      <c r="M37" s="255" t="s">
        <v>214</v>
      </c>
      <c r="N37" s="352"/>
      <c r="O37" s="353"/>
      <c r="P37" s="353"/>
      <c r="Q37" s="354"/>
      <c r="R37" s="354"/>
      <c r="S37" s="355"/>
      <c r="T37" s="128"/>
      <c r="U37" s="357"/>
      <c r="V37" s="358"/>
      <c r="W37" s="354"/>
      <c r="Y37" s="359"/>
      <c r="Z37" s="369"/>
    </row>
    <row r="38" spans="1:35" s="62" customFormat="1" ht="13">
      <c r="A38" s="361" t="s">
        <v>706</v>
      </c>
      <c r="B38" s="345" t="s">
        <v>1502</v>
      </c>
      <c r="C38" s="346" t="s">
        <v>323</v>
      </c>
      <c r="D38" s="347">
        <v>3493000</v>
      </c>
      <c r="E38" s="346" t="s">
        <v>323</v>
      </c>
      <c r="F38" s="348"/>
      <c r="G38" s="348">
        <v>12978410</v>
      </c>
      <c r="H38" s="370" t="s">
        <v>155</v>
      </c>
      <c r="I38" s="255" t="s">
        <v>48</v>
      </c>
      <c r="J38" s="350" t="s">
        <v>1503</v>
      </c>
      <c r="K38" s="255" t="s">
        <v>1503</v>
      </c>
      <c r="L38" s="351" t="s">
        <v>698</v>
      </c>
      <c r="M38" s="255" t="s">
        <v>214</v>
      </c>
      <c r="N38" s="352"/>
      <c r="O38" s="353"/>
      <c r="P38" s="353"/>
      <c r="Q38" s="354"/>
      <c r="R38" s="354"/>
      <c r="S38" s="355"/>
      <c r="T38" s="356"/>
      <c r="U38" s="357"/>
      <c r="V38" s="358"/>
      <c r="W38" s="354"/>
      <c r="X38" s="356"/>
      <c r="Y38" s="359"/>
      <c r="Z38" s="369"/>
      <c r="AA38" s="128"/>
      <c r="AB38" s="128"/>
      <c r="AC38" s="128"/>
      <c r="AD38" s="128"/>
      <c r="AE38" s="128"/>
      <c r="AF38" s="128"/>
      <c r="AG38" s="128"/>
      <c r="AH38" s="128"/>
      <c r="AI38" s="128"/>
    </row>
    <row r="39" spans="1:35" s="62" customFormat="1" ht="13">
      <c r="A39" s="361" t="s">
        <v>706</v>
      </c>
      <c r="B39" s="345" t="s">
        <v>1504</v>
      </c>
      <c r="C39" s="346" t="s">
        <v>375</v>
      </c>
      <c r="D39" s="347">
        <v>3487443</v>
      </c>
      <c r="E39" s="346" t="s">
        <v>1505</v>
      </c>
      <c r="F39" s="348"/>
      <c r="G39" s="348">
        <v>41336058</v>
      </c>
      <c r="H39" s="370" t="s">
        <v>155</v>
      </c>
      <c r="I39" s="255" t="s">
        <v>48</v>
      </c>
      <c r="J39" s="350" t="s">
        <v>1503</v>
      </c>
      <c r="K39" s="255" t="s">
        <v>1503</v>
      </c>
      <c r="L39" s="351" t="s">
        <v>698</v>
      </c>
      <c r="M39" s="255" t="s">
        <v>214</v>
      </c>
      <c r="N39" s="352"/>
      <c r="O39" s="353"/>
      <c r="P39" s="353"/>
      <c r="Q39" s="354"/>
      <c r="R39" s="354"/>
      <c r="S39" s="355"/>
      <c r="T39" s="356"/>
      <c r="U39" s="357"/>
      <c r="V39" s="358"/>
      <c r="W39" s="354"/>
      <c r="X39" s="356"/>
      <c r="Y39" s="359"/>
      <c r="Z39" s="369"/>
      <c r="AA39" s="356"/>
      <c r="AB39" s="356"/>
      <c r="AC39" s="356"/>
      <c r="AD39" s="356"/>
      <c r="AE39" s="128"/>
      <c r="AF39" s="128"/>
      <c r="AG39" s="128"/>
      <c r="AH39" s="128"/>
      <c r="AI39" s="128"/>
    </row>
    <row r="40" spans="1:35" s="62" customFormat="1" ht="13">
      <c r="A40" s="344" t="s">
        <v>706</v>
      </c>
      <c r="B40" s="345" t="s">
        <v>1506</v>
      </c>
      <c r="C40" s="346" t="s">
        <v>1507</v>
      </c>
      <c r="D40" s="347">
        <v>2260085</v>
      </c>
      <c r="E40" s="346" t="s">
        <v>1508</v>
      </c>
      <c r="F40" s="348"/>
      <c r="G40" s="348">
        <v>85426772</v>
      </c>
      <c r="H40" s="370" t="s">
        <v>155</v>
      </c>
      <c r="I40" s="255" t="s">
        <v>48</v>
      </c>
      <c r="J40" s="350" t="s">
        <v>1503</v>
      </c>
      <c r="K40" s="255" t="s">
        <v>1503</v>
      </c>
      <c r="L40" s="351" t="s">
        <v>707</v>
      </c>
      <c r="M40" s="255" t="s">
        <v>214</v>
      </c>
      <c r="N40" s="352"/>
      <c r="O40" s="353"/>
      <c r="P40" s="353"/>
      <c r="Q40" s="354"/>
      <c r="R40" s="354"/>
      <c r="S40" s="355"/>
      <c r="T40" s="128"/>
      <c r="U40" s="357"/>
      <c r="V40" s="358"/>
      <c r="W40" s="354"/>
      <c r="X40" s="128"/>
      <c r="Y40" s="359"/>
      <c r="Z40" s="369"/>
      <c r="AA40" s="356"/>
      <c r="AB40" s="356"/>
      <c r="AC40" s="356"/>
      <c r="AD40" s="356"/>
      <c r="AE40" s="128"/>
      <c r="AF40" s="128"/>
      <c r="AG40" s="128"/>
      <c r="AH40" s="128"/>
      <c r="AI40" s="128"/>
    </row>
    <row r="41" spans="1:35" s="62" customFormat="1" ht="13">
      <c r="A41" s="344" t="s">
        <v>706</v>
      </c>
      <c r="B41" s="345" t="s">
        <v>1509</v>
      </c>
      <c r="C41" s="346" t="s">
        <v>1510</v>
      </c>
      <c r="D41" s="347">
        <v>1664084</v>
      </c>
      <c r="E41" s="346" t="s">
        <v>1511</v>
      </c>
      <c r="F41" s="348"/>
      <c r="G41" s="348">
        <v>14483044</v>
      </c>
      <c r="H41" s="370" t="s">
        <v>155</v>
      </c>
      <c r="I41" s="255" t="s">
        <v>48</v>
      </c>
      <c r="J41" s="350" t="s">
        <v>1503</v>
      </c>
      <c r="K41" s="255" t="s">
        <v>1503</v>
      </c>
      <c r="L41" s="351" t="s">
        <v>707</v>
      </c>
      <c r="M41" s="255" t="s">
        <v>214</v>
      </c>
      <c r="N41" s="352"/>
      <c r="O41" s="353"/>
      <c r="P41" s="353"/>
      <c r="Q41" s="354"/>
      <c r="R41" s="354"/>
      <c r="S41" s="355"/>
      <c r="T41" s="128"/>
      <c r="U41" s="357"/>
      <c r="V41" s="358"/>
      <c r="W41" s="354"/>
      <c r="X41" s="128"/>
      <c r="Y41" s="359"/>
      <c r="Z41" s="369"/>
      <c r="AA41" s="356"/>
      <c r="AB41" s="356"/>
      <c r="AC41" s="356"/>
      <c r="AD41" s="356"/>
      <c r="AE41" s="128"/>
      <c r="AF41" s="128"/>
      <c r="AG41" s="128"/>
      <c r="AH41" s="128"/>
      <c r="AI41" s="128"/>
    </row>
    <row r="42" spans="1:35" s="62" customFormat="1" ht="13">
      <c r="A42" s="344" t="s">
        <v>706</v>
      </c>
      <c r="B42" s="345" t="s">
        <v>1512</v>
      </c>
      <c r="C42" s="346" t="s">
        <v>1513</v>
      </c>
      <c r="D42" s="347">
        <v>1552072</v>
      </c>
      <c r="E42" s="346" t="s">
        <v>1514</v>
      </c>
      <c r="F42" s="348"/>
      <c r="G42" s="348">
        <v>27913634</v>
      </c>
      <c r="H42" s="370" t="s">
        <v>155</v>
      </c>
      <c r="I42" s="255" t="s">
        <v>48</v>
      </c>
      <c r="J42" s="350" t="s">
        <v>1503</v>
      </c>
      <c r="K42" s="255" t="s">
        <v>1503</v>
      </c>
      <c r="L42" s="351" t="s">
        <v>698</v>
      </c>
      <c r="M42" s="255" t="s">
        <v>214</v>
      </c>
      <c r="N42" s="352"/>
      <c r="O42" s="353"/>
      <c r="P42" s="353"/>
      <c r="Q42" s="354"/>
      <c r="R42" s="354"/>
      <c r="S42" s="355"/>
      <c r="T42" s="128"/>
      <c r="U42" s="357"/>
      <c r="V42" s="358"/>
      <c r="W42" s="375"/>
      <c r="X42" s="128"/>
      <c r="Y42" s="359"/>
      <c r="Z42" s="369"/>
      <c r="AA42" s="356"/>
      <c r="AB42" s="356"/>
      <c r="AC42" s="356"/>
      <c r="AD42" s="356"/>
      <c r="AE42" s="128"/>
      <c r="AF42" s="128"/>
      <c r="AG42" s="128"/>
      <c r="AH42" s="128"/>
      <c r="AI42" s="128"/>
    </row>
    <row r="43" spans="1:35" s="62" customFormat="1" ht="13">
      <c r="A43" s="344" t="s">
        <v>706</v>
      </c>
      <c r="B43" s="345" t="s">
        <v>1515</v>
      </c>
      <c r="C43" s="346" t="s">
        <v>1516</v>
      </c>
      <c r="D43" s="347">
        <v>1435216</v>
      </c>
      <c r="E43" s="346" t="s">
        <v>1517</v>
      </c>
      <c r="F43" s="348"/>
      <c r="G43" s="348">
        <v>60413557</v>
      </c>
      <c r="H43" s="370" t="s">
        <v>155</v>
      </c>
      <c r="I43" s="255" t="s">
        <v>48</v>
      </c>
      <c r="J43" s="350" t="s">
        <v>1503</v>
      </c>
      <c r="K43" s="255" t="s">
        <v>1503</v>
      </c>
      <c r="L43" s="351" t="s">
        <v>698</v>
      </c>
      <c r="M43" s="255" t="s">
        <v>214</v>
      </c>
      <c r="N43" s="352"/>
      <c r="O43" s="353"/>
      <c r="P43" s="353"/>
      <c r="Q43" s="354"/>
      <c r="R43" s="354"/>
      <c r="S43" s="355"/>
      <c r="T43" s="128"/>
      <c r="U43" s="357"/>
      <c r="V43" s="358"/>
      <c r="W43" s="354"/>
      <c r="X43" s="128"/>
      <c r="Y43" s="359"/>
      <c r="Z43" s="369"/>
      <c r="AA43" s="356"/>
      <c r="AB43" s="356"/>
      <c r="AC43" s="356"/>
      <c r="AD43" s="356"/>
      <c r="AE43" s="128"/>
      <c r="AF43" s="128"/>
      <c r="AG43" s="128"/>
      <c r="AH43" s="128"/>
      <c r="AI43" s="128"/>
    </row>
    <row r="44" spans="1:35" s="62" customFormat="1" ht="13">
      <c r="A44" s="344" t="s">
        <v>706</v>
      </c>
      <c r="B44" s="345" t="s">
        <v>1518</v>
      </c>
      <c r="C44" s="346" t="s">
        <v>837</v>
      </c>
      <c r="D44" s="347">
        <v>1329995</v>
      </c>
      <c r="E44" s="346" t="s">
        <v>1519</v>
      </c>
      <c r="F44" s="348"/>
      <c r="G44" s="348">
        <v>33051697</v>
      </c>
      <c r="H44" s="370" t="s">
        <v>155</v>
      </c>
      <c r="I44" s="255" t="s">
        <v>48</v>
      </c>
      <c r="J44" s="350" t="s">
        <v>1503</v>
      </c>
      <c r="K44" s="255" t="s">
        <v>1503</v>
      </c>
      <c r="L44" s="351" t="s">
        <v>698</v>
      </c>
      <c r="M44" s="255" t="s">
        <v>214</v>
      </c>
      <c r="N44" s="352"/>
      <c r="O44" s="353"/>
      <c r="P44" s="353"/>
      <c r="Q44" s="354"/>
      <c r="R44" s="354"/>
      <c r="S44" s="355"/>
      <c r="T44" s="356"/>
      <c r="U44" s="357"/>
      <c r="V44" s="358"/>
      <c r="W44" s="354"/>
      <c r="X44" s="356"/>
      <c r="Y44" s="359"/>
      <c r="Z44" s="369"/>
      <c r="AA44" s="356"/>
      <c r="AB44" s="356"/>
      <c r="AC44" s="356"/>
      <c r="AD44" s="356"/>
      <c r="AE44" s="128"/>
      <c r="AF44" s="128"/>
      <c r="AG44" s="128"/>
      <c r="AH44" s="128"/>
      <c r="AI44" s="128"/>
    </row>
    <row r="45" spans="1:35" s="62" customFormat="1" ht="13">
      <c r="A45" s="344" t="s">
        <v>706</v>
      </c>
      <c r="B45" s="345" t="s">
        <v>1520</v>
      </c>
      <c r="C45" s="346" t="s">
        <v>1521</v>
      </c>
      <c r="D45" s="347">
        <v>846694</v>
      </c>
      <c r="E45" s="346" t="s">
        <v>1522</v>
      </c>
      <c r="F45" s="348"/>
      <c r="G45" s="348">
        <v>1590610</v>
      </c>
      <c r="H45" s="349" t="s">
        <v>214</v>
      </c>
      <c r="I45" s="255" t="s">
        <v>50</v>
      </c>
      <c r="J45" s="350" t="s">
        <v>1503</v>
      </c>
      <c r="K45" s="255" t="s">
        <v>1503</v>
      </c>
      <c r="L45" s="351" t="s">
        <v>698</v>
      </c>
      <c r="M45" s="255" t="s">
        <v>155</v>
      </c>
      <c r="N45" s="352"/>
      <c r="O45" s="353"/>
      <c r="P45" s="353"/>
      <c r="Q45" s="354"/>
      <c r="R45" s="354"/>
      <c r="S45" s="355"/>
      <c r="T45" s="356"/>
      <c r="U45" s="357"/>
      <c r="V45" s="358"/>
      <c r="W45" s="354"/>
      <c r="X45" s="356"/>
      <c r="Y45" s="359"/>
      <c r="Z45" s="369"/>
      <c r="AA45" s="356"/>
      <c r="AB45" s="356"/>
      <c r="AC45" s="356"/>
      <c r="AD45" s="356"/>
      <c r="AE45" s="128"/>
      <c r="AF45" s="128"/>
      <c r="AG45" s="128"/>
      <c r="AH45" s="128"/>
      <c r="AI45" s="128"/>
    </row>
    <row r="46" spans="1:35" s="62" customFormat="1" ht="13">
      <c r="A46" s="344" t="s">
        <v>706</v>
      </c>
      <c r="B46" s="345" t="s">
        <v>1523</v>
      </c>
      <c r="C46" s="346" t="s">
        <v>1524</v>
      </c>
      <c r="D46" s="347">
        <v>822544</v>
      </c>
      <c r="E46" s="346" t="s">
        <v>1525</v>
      </c>
      <c r="F46" s="348"/>
      <c r="G46" s="348">
        <v>83326363</v>
      </c>
      <c r="H46" s="349" t="s">
        <v>214</v>
      </c>
      <c r="I46" s="255" t="s">
        <v>48</v>
      </c>
      <c r="J46" s="350" t="s">
        <v>1503</v>
      </c>
      <c r="K46" s="255" t="s">
        <v>1503</v>
      </c>
      <c r="L46" s="351" t="s">
        <v>698</v>
      </c>
      <c r="M46" s="255" t="s">
        <v>214</v>
      </c>
      <c r="N46" s="352"/>
      <c r="O46" s="353"/>
      <c r="P46" s="353"/>
      <c r="Q46" s="354"/>
      <c r="R46" s="354"/>
      <c r="S46" s="355"/>
      <c r="T46" s="128"/>
      <c r="U46" s="357"/>
      <c r="V46" s="358"/>
      <c r="W46" s="354"/>
      <c r="X46" s="128"/>
      <c r="Y46" s="359"/>
      <c r="Z46" s="369"/>
      <c r="AA46" s="128"/>
      <c r="AB46" s="128"/>
      <c r="AC46" s="128"/>
      <c r="AD46" s="128"/>
      <c r="AE46" s="128"/>
      <c r="AF46" s="128"/>
      <c r="AG46" s="128"/>
      <c r="AH46" s="128"/>
      <c r="AI46" s="128"/>
    </row>
    <row r="47" spans="1:35" s="62" customFormat="1" ht="13">
      <c r="A47" s="344" t="s">
        <v>706</v>
      </c>
      <c r="B47" s="345" t="s">
        <v>1526</v>
      </c>
      <c r="C47" s="346" t="s">
        <v>1527</v>
      </c>
      <c r="D47" s="347">
        <v>675735</v>
      </c>
      <c r="E47" s="346" t="s">
        <v>1528</v>
      </c>
      <c r="F47" s="348"/>
      <c r="G47" s="348">
        <v>118098724</v>
      </c>
      <c r="H47" s="349" t="s">
        <v>214</v>
      </c>
      <c r="I47" s="255" t="s">
        <v>1003</v>
      </c>
      <c r="J47" s="350" t="s">
        <v>1503</v>
      </c>
      <c r="K47" s="255" t="s">
        <v>1503</v>
      </c>
      <c r="L47" s="351" t="s">
        <v>698</v>
      </c>
      <c r="M47" s="255" t="s">
        <v>155</v>
      </c>
      <c r="N47" s="352"/>
      <c r="O47" s="353"/>
      <c r="P47" s="353"/>
      <c r="Q47" s="354"/>
      <c r="R47" s="354"/>
      <c r="S47" s="355"/>
      <c r="T47" s="128"/>
      <c r="U47" s="357"/>
      <c r="V47" s="358"/>
      <c r="W47" s="354"/>
      <c r="X47" s="128"/>
      <c r="Y47" s="359"/>
      <c r="Z47" s="369"/>
      <c r="AA47" s="128"/>
      <c r="AB47" s="128"/>
      <c r="AC47" s="128"/>
      <c r="AD47" s="128"/>
      <c r="AE47" s="128"/>
      <c r="AF47" s="128"/>
      <c r="AG47" s="128"/>
      <c r="AH47" s="128"/>
      <c r="AI47" s="128"/>
    </row>
    <row r="48" spans="1:35" s="62" customFormat="1" ht="13">
      <c r="A48" s="344" t="s">
        <v>706</v>
      </c>
      <c r="B48" s="345" t="s">
        <v>1529</v>
      </c>
      <c r="C48" s="346" t="s">
        <v>1530</v>
      </c>
      <c r="D48" s="347">
        <v>571996</v>
      </c>
      <c r="E48" s="346" t="s">
        <v>1531</v>
      </c>
      <c r="F48" s="348"/>
      <c r="G48" s="348">
        <v>1139488</v>
      </c>
      <c r="H48" s="349" t="s">
        <v>214</v>
      </c>
      <c r="I48" s="255" t="s">
        <v>50</v>
      </c>
      <c r="J48" s="350" t="s">
        <v>1503</v>
      </c>
      <c r="K48" s="255" t="s">
        <v>1503</v>
      </c>
      <c r="L48" s="351" t="s">
        <v>698</v>
      </c>
      <c r="M48" s="255" t="s">
        <v>155</v>
      </c>
      <c r="N48" s="352"/>
      <c r="O48" s="353"/>
      <c r="P48" s="353"/>
      <c r="Q48" s="354"/>
      <c r="R48" s="354"/>
      <c r="S48" s="355"/>
      <c r="T48" s="128"/>
      <c r="U48" s="357"/>
      <c r="V48" s="358"/>
      <c r="W48" s="354"/>
      <c r="X48" s="128"/>
      <c r="Y48" s="359"/>
      <c r="Z48" s="369"/>
      <c r="AA48" s="356"/>
      <c r="AB48" s="356"/>
      <c r="AC48" s="356"/>
      <c r="AD48" s="356"/>
      <c r="AE48" s="128"/>
      <c r="AF48" s="128"/>
      <c r="AG48" s="128"/>
      <c r="AH48" s="128"/>
      <c r="AI48" s="128"/>
    </row>
    <row r="49" spans="1:35" s="62" customFormat="1" ht="13">
      <c r="A49" s="344" t="s">
        <v>706</v>
      </c>
      <c r="B49" s="345" t="s">
        <v>1532</v>
      </c>
      <c r="C49" s="346" t="s">
        <v>1001</v>
      </c>
      <c r="D49" s="347">
        <v>537461</v>
      </c>
      <c r="E49" s="346" t="s">
        <v>1002</v>
      </c>
      <c r="F49" s="348"/>
      <c r="G49" s="348">
        <v>137981567</v>
      </c>
      <c r="H49" s="349" t="s">
        <v>214</v>
      </c>
      <c r="I49" s="255" t="s">
        <v>1003</v>
      </c>
      <c r="J49" s="350" t="s">
        <v>1503</v>
      </c>
      <c r="K49" s="255" t="s">
        <v>1503</v>
      </c>
      <c r="L49" s="351" t="s">
        <v>698</v>
      </c>
      <c r="M49" s="255" t="s">
        <v>214</v>
      </c>
      <c r="N49" s="352"/>
      <c r="O49" s="353"/>
      <c r="P49" s="353"/>
      <c r="Q49" s="354"/>
      <c r="R49" s="354"/>
      <c r="S49" s="355"/>
      <c r="T49" s="356"/>
      <c r="U49" s="357"/>
      <c r="V49" s="358"/>
      <c r="W49" s="354"/>
      <c r="X49" s="356"/>
      <c r="Y49" s="359"/>
      <c r="Z49" s="369"/>
      <c r="AA49" s="128"/>
      <c r="AB49" s="128"/>
      <c r="AC49" s="128"/>
      <c r="AD49" s="128"/>
      <c r="AE49" s="128"/>
      <c r="AF49" s="128"/>
      <c r="AG49" s="128"/>
      <c r="AH49" s="128"/>
      <c r="AI49" s="128"/>
    </row>
    <row r="50" spans="1:35" s="62" customFormat="1" ht="13">
      <c r="A50" s="344" t="s">
        <v>706</v>
      </c>
      <c r="B50" s="345" t="s">
        <v>1533</v>
      </c>
      <c r="C50" s="346" t="s">
        <v>1534</v>
      </c>
      <c r="D50" s="347">
        <v>528827</v>
      </c>
      <c r="E50" s="346" t="s">
        <v>1534</v>
      </c>
      <c r="F50" s="348"/>
      <c r="G50" s="348">
        <v>2183387</v>
      </c>
      <c r="H50" s="349" t="s">
        <v>214</v>
      </c>
      <c r="I50" s="255" t="s">
        <v>50</v>
      </c>
      <c r="J50" s="350" t="s">
        <v>1503</v>
      </c>
      <c r="K50" s="255" t="s">
        <v>1503</v>
      </c>
      <c r="L50" s="351" t="s">
        <v>698</v>
      </c>
      <c r="M50" s="255" t="s">
        <v>214</v>
      </c>
      <c r="N50" s="352"/>
      <c r="O50" s="353"/>
      <c r="P50" s="353"/>
      <c r="Q50" s="354"/>
      <c r="R50" s="354"/>
      <c r="S50" s="355"/>
      <c r="T50" s="356"/>
      <c r="U50" s="357"/>
      <c r="V50" s="358"/>
      <c r="W50" s="354"/>
      <c r="X50" s="356"/>
      <c r="Y50" s="359"/>
      <c r="Z50" s="369"/>
      <c r="AA50" s="356"/>
      <c r="AB50" s="356"/>
      <c r="AC50" s="356"/>
      <c r="AD50" s="356"/>
      <c r="AE50" s="128"/>
      <c r="AF50" s="128"/>
      <c r="AG50" s="128"/>
      <c r="AH50" s="128"/>
      <c r="AI50" s="128"/>
    </row>
    <row r="51" spans="1:35" s="62" customFormat="1" ht="13">
      <c r="A51" s="344" t="s">
        <v>706</v>
      </c>
      <c r="B51" s="345" t="s">
        <v>1535</v>
      </c>
      <c r="C51" s="346" t="s">
        <v>1536</v>
      </c>
      <c r="D51" s="347">
        <v>526483</v>
      </c>
      <c r="E51" s="346" t="s">
        <v>1537</v>
      </c>
      <c r="F51" s="348"/>
      <c r="G51" s="348">
        <v>6882527</v>
      </c>
      <c r="H51" s="349" t="s">
        <v>214</v>
      </c>
      <c r="I51" s="255" t="s">
        <v>50</v>
      </c>
      <c r="J51" s="350" t="s">
        <v>1503</v>
      </c>
      <c r="K51" s="255" t="s">
        <v>1503</v>
      </c>
      <c r="L51" s="351" t="s">
        <v>698</v>
      </c>
      <c r="M51" s="255" t="s">
        <v>214</v>
      </c>
      <c r="N51" s="352"/>
      <c r="O51" s="353"/>
      <c r="P51" s="353"/>
      <c r="Q51" s="354"/>
      <c r="R51" s="354"/>
      <c r="S51" s="355"/>
      <c r="T51" s="128"/>
      <c r="U51" s="357"/>
      <c r="V51" s="358"/>
      <c r="W51" s="354"/>
      <c r="X51" s="128"/>
      <c r="Y51" s="359"/>
      <c r="Z51" s="369"/>
      <c r="AA51" s="128"/>
      <c r="AB51" s="128"/>
      <c r="AC51" s="128"/>
      <c r="AD51" s="128"/>
      <c r="AE51" s="128"/>
      <c r="AF51" s="128"/>
      <c r="AG51" s="128"/>
      <c r="AH51" s="128"/>
      <c r="AI51" s="128"/>
    </row>
    <row r="52" spans="1:35" s="217" customFormat="1" ht="16.5" customHeight="1">
      <c r="A52" s="206" t="s">
        <v>804</v>
      </c>
      <c r="B52" s="376">
        <v>8564761</v>
      </c>
      <c r="C52" s="206" t="s">
        <v>1538</v>
      </c>
      <c r="D52" s="119">
        <v>704558</v>
      </c>
      <c r="E52" s="118" t="s">
        <v>1539</v>
      </c>
      <c r="F52" s="202">
        <v>20583370</v>
      </c>
      <c r="G52" s="202">
        <v>4986935.72</v>
      </c>
      <c r="H52" s="377" t="s">
        <v>214</v>
      </c>
      <c r="I52" s="204" t="s">
        <v>50</v>
      </c>
      <c r="J52" s="121" t="s">
        <v>749</v>
      </c>
      <c r="K52" s="121" t="s">
        <v>749</v>
      </c>
      <c r="L52" s="121"/>
      <c r="M52" s="378" t="s">
        <v>698</v>
      </c>
      <c r="N52" s="379" t="s">
        <v>699</v>
      </c>
      <c r="O52" s="122"/>
      <c r="P52" s="350"/>
      <c r="Q52" s="380"/>
      <c r="R52" s="380"/>
      <c r="S52" s="124" t="s">
        <v>710</v>
      </c>
      <c r="T52" s="122" t="s">
        <v>9</v>
      </c>
      <c r="U52" s="381"/>
      <c r="V52" s="204"/>
      <c r="W52" s="382"/>
      <c r="X52" s="121" t="s">
        <v>731</v>
      </c>
      <c r="Y52" s="383"/>
      <c r="Z52" s="205"/>
      <c r="AA52" s="118" t="s">
        <v>1540</v>
      </c>
      <c r="AB52" s="384" t="s">
        <v>1541</v>
      </c>
      <c r="AC52" s="207" t="s">
        <v>1542</v>
      </c>
      <c r="AD52" s="356"/>
      <c r="AE52" s="356"/>
      <c r="AF52" s="356"/>
      <c r="AG52" s="128"/>
      <c r="AH52" s="128"/>
      <c r="AI52" s="128"/>
    </row>
    <row r="53" spans="1:35" s="217" customFormat="1" ht="16.5" customHeight="1">
      <c r="A53" s="206" t="s">
        <v>702</v>
      </c>
      <c r="B53" s="321">
        <v>259358419</v>
      </c>
      <c r="C53" s="206" t="s">
        <v>603</v>
      </c>
      <c r="D53" s="119">
        <v>2286156</v>
      </c>
      <c r="E53" s="118" t="s">
        <v>1543</v>
      </c>
      <c r="F53" s="202">
        <v>3012700</v>
      </c>
      <c r="G53" s="202">
        <v>188573.31</v>
      </c>
      <c r="H53" s="202"/>
      <c r="I53" s="204" t="s">
        <v>52</v>
      </c>
      <c r="J53" s="203"/>
      <c r="K53" s="204"/>
      <c r="L53" s="121"/>
      <c r="M53" s="378"/>
      <c r="N53" s="379"/>
      <c r="O53" s="122"/>
      <c r="P53" s="350"/>
      <c r="Q53" s="380"/>
      <c r="R53" s="385"/>
      <c r="S53" s="124"/>
      <c r="T53" s="122"/>
      <c r="U53" s="381"/>
      <c r="V53" s="204"/>
      <c r="W53" s="382"/>
      <c r="X53" s="121" t="s">
        <v>731</v>
      </c>
      <c r="Y53" s="386"/>
      <c r="Z53" s="205"/>
      <c r="AA53" s="246" t="s">
        <v>1544</v>
      </c>
      <c r="AB53" s="384" t="s">
        <v>1545</v>
      </c>
      <c r="AC53" s="207" t="s">
        <v>753</v>
      </c>
      <c r="AD53" s="128"/>
      <c r="AE53" s="128"/>
      <c r="AF53" s="128"/>
      <c r="AG53" s="128"/>
      <c r="AH53" s="128"/>
      <c r="AI53" s="128"/>
    </row>
  </sheetData>
  <mergeCells count="4">
    <mergeCell ref="A1:D1"/>
    <mergeCell ref="E1:N1"/>
    <mergeCell ref="O1:T1"/>
    <mergeCell ref="U1:Z1"/>
  </mergeCells>
  <phoneticPr fontId="67" type="noConversion"/>
  <conditionalFormatting sqref="D2:D37 F52:F5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{9360992B-BA8E-49DE-AA07-8F3EAFEFFA5F}</x14:id>
        </ext>
      </extLst>
    </cfRule>
  </conditionalFormatting>
  <conditionalFormatting sqref="B52:B53">
    <cfRule type="duplicateValues" dxfId="4" priority="2"/>
  </conditionalFormatting>
  <conditionalFormatting sqref="B52">
    <cfRule type="duplicateValues" dxfId="3" priority="3"/>
  </conditionalFormatting>
  <conditionalFormatting sqref="B52">
    <cfRule type="duplicateValues" dxfId="2" priority="4"/>
  </conditionalFormatting>
  <conditionalFormatting sqref="C26">
    <cfRule type="duplicateValues" dxfId="1" priority="5"/>
  </conditionalFormatting>
  <dataValidations count="14">
    <dataValidation type="list" allowBlank="1" showInputMessage="1" showErrorMessage="1" sqref="Y2:Y1048576" xr:uid="{00000000-0002-0000-0300-000000000000}">
      <formula1>"未启动,商品已上架,开始内容带货,"</formula1>
    </dataValidation>
    <dataValidation type="list" allowBlank="1" showInputMessage="1" showErrorMessage="1" sqref="W2:W1048576" xr:uid="{00000000-0002-0000-0300-000001000000}">
      <formula1>"不看好：观望/不投资源,电商业务在收缩,内容停更,生娃不可抗,做抖音,不看好：重点经营竞媒/淘宝,"</formula1>
    </dataValidation>
    <dataValidation type="list" allowBlank="1" showInputMessage="1" showErrorMessage="1" sqref="V2:V1048576" xr:uid="{00000000-0002-0000-0300-000002000000}">
      <formula1>"未入驻,已入驻,拒绝入驻,"</formula1>
    </dataValidation>
    <dataValidation type="list" allowBlank="1" showInputMessage="1" showErrorMessage="1" sqref="U2:U1048576" xr:uid="{00000000-0002-0000-0300-000003000000}">
      <formula1>"已建联,未建联,"</formula1>
    </dataValidation>
    <dataValidation type="list" allowBlank="1" showInputMessage="1" showErrorMessage="1" sqref="S2:S1048576" xr:uid="{00000000-0002-0000-0300-000004000000}">
      <formula1>"是，生态影响力大,是，增长潜力大,是，已/待聊深度绑定,否,"</formula1>
    </dataValidation>
    <dataValidation type="list" allowBlank="1" showInputMessage="1" showErrorMessage="1" sqref="R2:R1048576 O52:O53" xr:uid="{00000000-0002-0000-0300-000005000000}">
      <formula1>"P0,P1,P2,"</formula1>
    </dataValidation>
    <dataValidation type="list" allowBlank="1" showInputMessage="1" showErrorMessage="1" sqref="K2:K1048576" xr:uid="{00000000-0002-0000-0300-000006000000}">
      <formula1>"生鲜农产,装机,3C数码,食品,服装配饰,个护美妆,礼品文创,图书教育,模玩手办,家居日用,"</formula1>
    </dataValidation>
    <dataValidation type="list" allowBlank="1" showInputMessage="1" showErrorMessage="1" sqref="J3:J1048576" xr:uid="{00000000-0002-0000-0300-000007000000}">
      <formula1>"客制化,非客制化商品,客制化：农产品,装机,"</formula1>
    </dataValidation>
    <dataValidation type="list" allowBlank="1" showInputMessage="1" showErrorMessage="1" sqref="Q3:Q1048576" xr:uid="{00000000-0002-0000-0300-000008000000}">
      <formula1>"老帕,E,马匀涵,马鹿,阿哩布布,琛,雪如,奥粒,"</formula1>
    </dataValidation>
    <dataValidation type="list" allowBlank="1" showInputMessage="1" showErrorMessage="1" sqref="L2:L1048576" xr:uid="{00000000-0002-0000-0300-000009000000}">
      <formula1>"试水做判断（有收入）,稳定的收入来源之一（~30%））,重要收入来源（超过50%）,"</formula1>
    </dataValidation>
    <dataValidation type="list" allowBlank="1" showInputMessage="1" showErrorMessage="1" sqref="H3:H52 M2:N1048576" xr:uid="{00000000-0002-0000-0300-00000A000000}">
      <formula1>"是,否,"</formula1>
    </dataValidation>
    <dataValidation type="list" allowBlank="1" showInputMessage="1" showErrorMessage="1" sqref="P52:P53" xr:uid="{00000000-0002-0000-0300-00000E000000}">
      <formula1>"老帕,E,奥粒,马匀涵,阿哩布布,马鹿,琛,雪如,佳期,"</formula1>
    </dataValidation>
    <dataValidation type="list" allowBlank="1" showInputMessage="1" showErrorMessage="1" sqref="T52:T53" xr:uid="{00000000-0002-0000-0300-00000F000000}">
      <formula1>"未启动,商品已上架,开始内容带货,积极带货,"</formula1>
    </dataValidation>
    <dataValidation type="list" allowBlank="1" showInputMessage="1" showErrorMessage="1" sqref="X52:X53" xr:uid="{00000000-0002-0000-0300-000010000000}">
      <formula1>"不看好：观望/不投资源,电商业务在收缩,内容停更,生娃不可抗,做抖音,不看好：重点经营竞媒/淘宝,无客制化商品,"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60992B-BA8E-49DE-AA07-8F3EAFEFFA5F}">
            <x14:dataBar minLength="0" maxLength="100" gradient="0" direction="leftToRight">
              <x14:cfvo type="autoMin"/>
              <x14:cfvo type="autoMax"/>
              <x14:negativeFillColor rgb="FFFF0000"/>
              <x14:axisColor auto="1"/>
            </x14:dataBar>
          </x14:cfRule>
          <xm:sqref>D2:D37 F52:F53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从0→1客制化"/>
  <dimension ref="A1:AI351"/>
  <sheetViews>
    <sheetView workbookViewId="0"/>
  </sheetViews>
  <sheetFormatPr defaultColWidth="13.81640625" defaultRowHeight="18" customHeight="1"/>
  <cols>
    <col min="1" max="1" width="24.7265625" customWidth="1"/>
    <col min="2" max="2" width="19.7265625" customWidth="1"/>
    <col min="3" max="3" width="14.7265625" customWidth="1"/>
    <col min="4" max="4" width="19.7265625" customWidth="1"/>
    <col min="5" max="6" width="14.54296875" customWidth="1"/>
    <col min="7" max="7" width="13.6328125" style="97" customWidth="1"/>
    <col min="8" max="8" width="13.6328125" style="97"/>
    <col min="10" max="10" width="29.26953125" customWidth="1"/>
    <col min="11" max="11" width="28.26953125" customWidth="1"/>
    <col min="12" max="14" width="13.6328125" style="97"/>
    <col min="15" max="15" width="17" style="97" customWidth="1"/>
    <col min="16" max="16" width="14" style="419" customWidth="1"/>
    <col min="17" max="17" width="19" style="419" customWidth="1"/>
    <col min="18" max="18" width="19" style="97" customWidth="1"/>
    <col min="19" max="19" width="15.7265625" style="97" customWidth="1"/>
    <col min="20" max="20" width="22.1796875" style="97" customWidth="1"/>
    <col min="21" max="21" width="17" style="97" customWidth="1"/>
    <col min="22" max="22" width="13.6328125" style="97"/>
    <col min="23" max="23" width="14.453125" style="419" customWidth="1"/>
    <col min="24" max="24" width="14.453125" style="97" customWidth="1"/>
  </cols>
  <sheetData>
    <row r="1" spans="1:24">
      <c r="A1" s="86" t="s">
        <v>97</v>
      </c>
      <c r="B1" s="86" t="s">
        <v>98</v>
      </c>
      <c r="C1" s="87" t="s">
        <v>99</v>
      </c>
      <c r="D1" s="86" t="s">
        <v>100</v>
      </c>
      <c r="E1" s="88" t="s">
        <v>101</v>
      </c>
      <c r="F1" s="86" t="s">
        <v>102</v>
      </c>
      <c r="G1" s="86" t="s">
        <v>103</v>
      </c>
      <c r="H1" s="86" t="s">
        <v>104</v>
      </c>
      <c r="I1" s="86" t="s">
        <v>105</v>
      </c>
      <c r="J1" s="86" t="s">
        <v>106</v>
      </c>
      <c r="K1" s="86" t="s">
        <v>107</v>
      </c>
      <c r="L1" s="89" t="s">
        <v>108</v>
      </c>
      <c r="M1" s="90" t="s">
        <v>109</v>
      </c>
      <c r="N1" s="90" t="s">
        <v>110</v>
      </c>
      <c r="O1" s="90" t="s">
        <v>111</v>
      </c>
      <c r="P1" s="91" t="s">
        <v>112</v>
      </c>
      <c r="Q1" s="91" t="s">
        <v>113</v>
      </c>
      <c r="R1" s="90" t="s">
        <v>114</v>
      </c>
      <c r="S1" s="90" t="s">
        <v>115</v>
      </c>
      <c r="T1" s="90" t="s">
        <v>116</v>
      </c>
      <c r="U1" s="90" t="s">
        <v>117</v>
      </c>
      <c r="V1" s="90" t="s">
        <v>118</v>
      </c>
      <c r="W1" s="91" t="s">
        <v>119</v>
      </c>
      <c r="X1" s="92" t="s">
        <v>120</v>
      </c>
    </row>
    <row r="2" spans="1:24" ht="18" customHeight="1">
      <c r="A2" s="93" t="s">
        <v>121</v>
      </c>
      <c r="B2" s="93">
        <v>25876945</v>
      </c>
      <c r="C2" s="94">
        <v>10</v>
      </c>
      <c r="D2" s="95" t="s">
        <v>122</v>
      </c>
      <c r="E2" s="96" t="s">
        <v>123</v>
      </c>
      <c r="F2" s="97">
        <v>17719490170</v>
      </c>
      <c r="G2" s="98" t="s">
        <v>18</v>
      </c>
      <c r="H2" s="99"/>
      <c r="I2" s="100"/>
      <c r="L2" s="101">
        <v>4791102</v>
      </c>
      <c r="M2" s="102">
        <v>0.107292</v>
      </c>
      <c r="N2" s="103">
        <f t="shared" ref="N2:N65" si="0">L2*M2</f>
        <v>514046.91578400001</v>
      </c>
      <c r="O2" s="101">
        <v>1545130</v>
      </c>
      <c r="P2" s="104">
        <v>6.0400000000000002E-2</v>
      </c>
      <c r="Q2" s="104">
        <v>3.61E-2</v>
      </c>
      <c r="R2" s="97">
        <v>14</v>
      </c>
      <c r="S2" s="101">
        <v>2113035</v>
      </c>
      <c r="T2" s="101">
        <v>2036754</v>
      </c>
      <c r="U2" s="101">
        <v>46</v>
      </c>
      <c r="V2" s="101">
        <v>1846543</v>
      </c>
      <c r="W2" s="104">
        <v>0.92900000000000005</v>
      </c>
      <c r="X2" s="101">
        <v>4450934</v>
      </c>
    </row>
    <row r="3" spans="1:24">
      <c r="A3" s="93" t="s">
        <v>124</v>
      </c>
      <c r="B3" s="93">
        <v>1532165</v>
      </c>
      <c r="C3" s="94">
        <v>10</v>
      </c>
      <c r="D3" s="95" t="s">
        <v>125</v>
      </c>
      <c r="E3" s="96" t="s">
        <v>126</v>
      </c>
      <c r="F3" s="97">
        <v>13520217149</v>
      </c>
      <c r="G3" s="105"/>
      <c r="H3" s="100"/>
      <c r="I3" s="100"/>
      <c r="J3" t="s">
        <v>127</v>
      </c>
      <c r="L3" s="101">
        <v>8249270</v>
      </c>
      <c r="M3" s="102">
        <v>7.6699000000000003E-2</v>
      </c>
      <c r="N3" s="103">
        <f t="shared" si="0"/>
        <v>632710.75973000005</v>
      </c>
      <c r="O3" s="101">
        <v>1733172</v>
      </c>
      <c r="P3" s="104">
        <v>0.41210000000000002</v>
      </c>
      <c r="Q3" s="104">
        <v>6.6699999999999995E-2</v>
      </c>
      <c r="R3" s="97">
        <v>12</v>
      </c>
      <c r="S3" s="101">
        <v>2754774</v>
      </c>
      <c r="T3" s="101">
        <v>2571122</v>
      </c>
      <c r="U3" s="101">
        <v>26</v>
      </c>
      <c r="V3" s="101">
        <v>2312975</v>
      </c>
      <c r="W3" s="104">
        <v>0.92600000000000005</v>
      </c>
      <c r="X3" s="101">
        <v>7638824</v>
      </c>
    </row>
    <row r="4" spans="1:24">
      <c r="A4" s="93" t="s">
        <v>74</v>
      </c>
      <c r="B4" s="93">
        <v>99157282</v>
      </c>
      <c r="C4" s="94">
        <v>10</v>
      </c>
      <c r="D4" s="95" t="s">
        <v>122</v>
      </c>
      <c r="E4" s="96" t="s">
        <v>128</v>
      </c>
      <c r="F4" s="97">
        <v>13910131262</v>
      </c>
      <c r="G4" s="106" t="s">
        <v>18</v>
      </c>
      <c r="H4" s="99"/>
      <c r="I4" s="100"/>
      <c r="L4" s="101">
        <v>8220929</v>
      </c>
      <c r="M4" s="102">
        <v>3.9941999999999998E-2</v>
      </c>
      <c r="N4" s="103">
        <f t="shared" si="0"/>
        <v>328360.34611799999</v>
      </c>
      <c r="O4" s="101">
        <v>1766678</v>
      </c>
      <c r="P4" s="104">
        <v>5.1700000000000003E-2</v>
      </c>
      <c r="Q4" s="104">
        <v>0.28039999999999998</v>
      </c>
      <c r="R4" s="97">
        <v>9</v>
      </c>
      <c r="S4" s="101">
        <v>3063176</v>
      </c>
      <c r="T4" s="101">
        <v>2204261</v>
      </c>
      <c r="U4" s="101">
        <v>23</v>
      </c>
      <c r="V4" s="101">
        <v>2390228</v>
      </c>
      <c r="W4" s="104">
        <v>0.92300000000000004</v>
      </c>
      <c r="X4" s="101">
        <v>7587917</v>
      </c>
    </row>
    <row r="5" spans="1:24">
      <c r="A5" s="93" t="s">
        <v>129</v>
      </c>
      <c r="B5" s="93">
        <v>10119428</v>
      </c>
      <c r="C5" s="94">
        <v>10</v>
      </c>
      <c r="D5" s="95" t="s">
        <v>125</v>
      </c>
      <c r="E5" s="96" t="s">
        <v>130</v>
      </c>
      <c r="F5" s="97">
        <v>13691287618</v>
      </c>
      <c r="G5" s="105" t="s">
        <v>18</v>
      </c>
      <c r="H5" s="100"/>
      <c r="I5" s="100"/>
      <c r="L5" s="101">
        <v>7721784</v>
      </c>
      <c r="M5" s="102">
        <v>0.110971</v>
      </c>
      <c r="N5" s="103">
        <f t="shared" si="0"/>
        <v>856894.09226399998</v>
      </c>
      <c r="O5" s="101">
        <v>2836983</v>
      </c>
      <c r="P5" s="104">
        <v>0.17949999999999999</v>
      </c>
      <c r="Q5" s="104">
        <v>8.2400000000000001E-2</v>
      </c>
      <c r="R5" s="97">
        <v>41</v>
      </c>
      <c r="S5" s="101">
        <v>2488288</v>
      </c>
      <c r="T5" s="101">
        <v>2283253</v>
      </c>
      <c r="U5" s="101">
        <v>75</v>
      </c>
      <c r="V5" s="101">
        <v>2663214</v>
      </c>
      <c r="W5" s="104">
        <v>0.91800000000000004</v>
      </c>
      <c r="X5" s="101">
        <v>7088598</v>
      </c>
    </row>
    <row r="6" spans="1:24">
      <c r="A6" s="93" t="s">
        <v>131</v>
      </c>
      <c r="B6" s="93">
        <v>927587</v>
      </c>
      <c r="C6" s="94">
        <v>10</v>
      </c>
      <c r="D6" s="95" t="s">
        <v>125</v>
      </c>
      <c r="E6" s="96" t="s">
        <v>132</v>
      </c>
      <c r="F6" s="97">
        <v>13810161331</v>
      </c>
      <c r="G6" s="105"/>
      <c r="H6" s="100"/>
      <c r="I6" s="100"/>
      <c r="L6" s="101">
        <v>14348169</v>
      </c>
      <c r="M6" s="102">
        <v>3.5533000000000002E-2</v>
      </c>
      <c r="N6" s="103">
        <f t="shared" si="0"/>
        <v>509833.48907700001</v>
      </c>
      <c r="O6" s="101">
        <v>2248358</v>
      </c>
      <c r="P6" s="104">
        <v>8.5000000000000006E-2</v>
      </c>
      <c r="Q6" s="104">
        <v>0.1176</v>
      </c>
      <c r="R6" s="97">
        <v>10</v>
      </c>
      <c r="S6" s="101">
        <v>3769128</v>
      </c>
      <c r="T6" s="101">
        <v>3325701</v>
      </c>
      <c r="U6" s="101">
        <v>11</v>
      </c>
      <c r="V6" s="101">
        <v>5588516</v>
      </c>
      <c r="W6" s="104">
        <v>0.91400000000000003</v>
      </c>
      <c r="X6" s="101">
        <v>13114226</v>
      </c>
    </row>
    <row r="7" spans="1:24">
      <c r="A7" s="93" t="s">
        <v>133</v>
      </c>
      <c r="B7" s="93">
        <v>14804670</v>
      </c>
      <c r="C7" s="94">
        <v>10</v>
      </c>
      <c r="D7" s="95" t="s">
        <v>122</v>
      </c>
      <c r="E7" s="96" t="s">
        <v>130</v>
      </c>
      <c r="F7" s="97">
        <v>13520481148</v>
      </c>
      <c r="G7" s="105" t="s">
        <v>22</v>
      </c>
      <c r="H7" s="100"/>
      <c r="I7" s="100"/>
      <c r="L7" s="101">
        <v>10462742</v>
      </c>
      <c r="M7" s="102">
        <v>2.6585000000000001E-2</v>
      </c>
      <c r="N7" s="103">
        <f t="shared" si="0"/>
        <v>278151.99606999999</v>
      </c>
      <c r="O7" s="101">
        <v>2801922</v>
      </c>
      <c r="P7" s="104">
        <v>0.57310000000000005</v>
      </c>
      <c r="Q7" s="104">
        <v>0.17249999999999999</v>
      </c>
      <c r="R7" s="97">
        <v>6</v>
      </c>
      <c r="S7" s="101">
        <v>4181865</v>
      </c>
      <c r="T7" s="101">
        <v>3460493</v>
      </c>
      <c r="U7" s="101">
        <v>17</v>
      </c>
      <c r="V7" s="101">
        <v>2998226</v>
      </c>
      <c r="W7" s="104">
        <v>0.91300000000000003</v>
      </c>
      <c r="X7" s="101">
        <v>9552483</v>
      </c>
    </row>
    <row r="8" spans="1:24">
      <c r="A8" s="93" t="s">
        <v>134</v>
      </c>
      <c r="B8" s="93">
        <v>23947287</v>
      </c>
      <c r="C8" s="94">
        <v>10</v>
      </c>
      <c r="D8" s="95" t="s">
        <v>125</v>
      </c>
      <c r="E8" s="96" t="s">
        <v>130</v>
      </c>
      <c r="F8" s="97">
        <v>15048579542</v>
      </c>
      <c r="G8" s="105"/>
      <c r="H8" s="100"/>
      <c r="I8" s="100"/>
      <c r="L8" s="101">
        <v>10178323</v>
      </c>
      <c r="M8" s="102">
        <v>0.190441</v>
      </c>
      <c r="N8" s="103">
        <f t="shared" si="0"/>
        <v>1938370.0104429999</v>
      </c>
      <c r="O8" s="101">
        <v>2752219</v>
      </c>
      <c r="P8" s="104">
        <v>9.9000000000000008E-3</v>
      </c>
      <c r="Q8" s="104">
        <v>5.6099999999999997E-2</v>
      </c>
      <c r="R8" s="97">
        <v>10</v>
      </c>
      <c r="S8" s="101">
        <v>10922737</v>
      </c>
      <c r="T8" s="101">
        <v>10309971</v>
      </c>
      <c r="U8" s="101">
        <v>22</v>
      </c>
      <c r="V8" s="101">
        <v>9707129</v>
      </c>
      <c r="W8" s="104">
        <v>0.91200000000000003</v>
      </c>
      <c r="X8" s="101">
        <v>9282631</v>
      </c>
    </row>
    <row r="9" spans="1:24">
      <c r="A9" s="93" t="s">
        <v>135</v>
      </c>
      <c r="B9" s="93">
        <v>72270557</v>
      </c>
      <c r="C9" s="94">
        <v>10</v>
      </c>
      <c r="D9" s="95" t="s">
        <v>122</v>
      </c>
      <c r="E9" s="96" t="s">
        <v>136</v>
      </c>
      <c r="F9" s="97">
        <v>15800462774</v>
      </c>
      <c r="G9" s="105" t="s">
        <v>137</v>
      </c>
      <c r="H9" s="100"/>
      <c r="I9" s="100"/>
      <c r="L9" s="101">
        <v>4595419</v>
      </c>
      <c r="M9" s="102">
        <v>8.1532999999999994E-2</v>
      </c>
      <c r="N9" s="103">
        <f t="shared" si="0"/>
        <v>374678.29732699995</v>
      </c>
      <c r="O9" s="101">
        <v>1136447</v>
      </c>
      <c r="P9" s="104">
        <v>0.17150000000000001</v>
      </c>
      <c r="Q9" s="104">
        <v>0.1875</v>
      </c>
      <c r="R9" s="97">
        <v>12</v>
      </c>
      <c r="S9" s="101">
        <v>2792344</v>
      </c>
      <c r="T9" s="101">
        <v>2268780</v>
      </c>
      <c r="U9" s="101">
        <v>19</v>
      </c>
      <c r="V9" s="101">
        <v>3418448</v>
      </c>
      <c r="W9" s="104">
        <v>0.91100000000000003</v>
      </c>
      <c r="X9" s="101">
        <v>4186427</v>
      </c>
    </row>
    <row r="10" spans="1:24">
      <c r="A10" s="93" t="s">
        <v>138</v>
      </c>
      <c r="B10" s="93">
        <v>14583962</v>
      </c>
      <c r="C10" s="94">
        <v>10</v>
      </c>
      <c r="D10" s="95" t="s">
        <v>125</v>
      </c>
      <c r="E10" s="96" t="s">
        <v>130</v>
      </c>
      <c r="F10" s="97">
        <v>13920189557</v>
      </c>
      <c r="G10" s="105"/>
      <c r="H10" s="100"/>
      <c r="I10" s="100"/>
      <c r="L10" s="101">
        <v>7865565</v>
      </c>
      <c r="M10" s="102">
        <v>4.6366999999999998E-2</v>
      </c>
      <c r="N10" s="103">
        <f t="shared" si="0"/>
        <v>364702.65235499997</v>
      </c>
      <c r="O10" s="101">
        <v>1426027</v>
      </c>
      <c r="P10" s="104">
        <v>0.12759999999999999</v>
      </c>
      <c r="Q10" s="104">
        <v>2.47E-2</v>
      </c>
      <c r="R10" s="97">
        <v>10</v>
      </c>
      <c r="S10" s="101">
        <v>3217876</v>
      </c>
      <c r="T10" s="101">
        <v>3138394</v>
      </c>
      <c r="U10" s="101">
        <v>20</v>
      </c>
      <c r="V10" s="101">
        <v>2734469</v>
      </c>
      <c r="W10" s="104">
        <v>0.91100000000000003</v>
      </c>
      <c r="X10" s="101">
        <v>7165530</v>
      </c>
    </row>
    <row r="11" spans="1:24">
      <c r="A11" s="93" t="s">
        <v>139</v>
      </c>
      <c r="B11" s="93">
        <v>254463269</v>
      </c>
      <c r="C11" s="94">
        <v>10</v>
      </c>
      <c r="D11" s="95" t="s">
        <v>125</v>
      </c>
      <c r="E11" s="96" t="s">
        <v>130</v>
      </c>
      <c r="F11" s="97">
        <v>15201519546</v>
      </c>
      <c r="G11" s="105"/>
      <c r="H11" s="100"/>
      <c r="I11" s="100"/>
      <c r="L11" s="101">
        <v>7245512</v>
      </c>
      <c r="M11" s="102">
        <v>4.4970999999999997E-2</v>
      </c>
      <c r="N11" s="103">
        <f t="shared" si="0"/>
        <v>325837.92015199998</v>
      </c>
      <c r="O11" s="101">
        <v>1312887</v>
      </c>
      <c r="P11" s="104">
        <v>0.13189999999999999</v>
      </c>
      <c r="Q11" s="104">
        <v>0.3952</v>
      </c>
      <c r="R11" s="97">
        <v>3</v>
      </c>
      <c r="S11" s="101">
        <v>12893131</v>
      </c>
      <c r="T11" s="101">
        <v>7797766</v>
      </c>
      <c r="U11" s="101">
        <v>8</v>
      </c>
      <c r="V11" s="101">
        <v>9760578</v>
      </c>
      <c r="W11" s="104">
        <v>0.90500000000000003</v>
      </c>
      <c r="X11" s="101">
        <v>6557188</v>
      </c>
    </row>
    <row r="12" spans="1:24">
      <c r="A12" s="93" t="s">
        <v>140</v>
      </c>
      <c r="B12" s="93">
        <v>113362335</v>
      </c>
      <c r="C12" s="94">
        <v>10</v>
      </c>
      <c r="D12" s="95" t="s">
        <v>125</v>
      </c>
      <c r="E12" s="96" t="s">
        <v>141</v>
      </c>
      <c r="F12" s="97">
        <v>17372208765</v>
      </c>
      <c r="G12" s="105"/>
      <c r="H12" s="100"/>
      <c r="I12" s="100"/>
      <c r="L12" s="101">
        <v>4813154</v>
      </c>
      <c r="M12" s="102">
        <v>7.0239999999999997E-2</v>
      </c>
      <c r="N12" s="103">
        <f t="shared" si="0"/>
        <v>338075.93695999996</v>
      </c>
      <c r="O12" s="101">
        <v>990066</v>
      </c>
      <c r="P12" s="104">
        <v>2.69E-2</v>
      </c>
      <c r="Q12" s="104">
        <v>0.33329999999999999</v>
      </c>
      <c r="R12" s="97">
        <v>12</v>
      </c>
      <c r="S12" s="101">
        <v>3324472</v>
      </c>
      <c r="T12" s="101">
        <v>2216315</v>
      </c>
      <c r="U12" s="101">
        <v>19</v>
      </c>
      <c r="V12" s="101">
        <v>3204625</v>
      </c>
      <c r="W12" s="104">
        <v>0.90300000000000002</v>
      </c>
      <c r="X12" s="101">
        <v>4346278</v>
      </c>
    </row>
    <row r="13" spans="1:24">
      <c r="A13" s="93" t="s">
        <v>142</v>
      </c>
      <c r="B13" s="93">
        <v>18202105</v>
      </c>
      <c r="C13" s="94">
        <v>10</v>
      </c>
      <c r="D13" s="95" t="s">
        <v>125</v>
      </c>
      <c r="E13" s="96" t="s">
        <v>143</v>
      </c>
      <c r="F13" s="97">
        <v>18684833322</v>
      </c>
      <c r="G13" s="105"/>
      <c r="H13" s="100"/>
      <c r="I13" s="100"/>
      <c r="K13" t="s">
        <v>144</v>
      </c>
      <c r="L13" s="101">
        <v>11855743</v>
      </c>
      <c r="M13" s="102">
        <v>2.1299999999999999E-2</v>
      </c>
      <c r="N13" s="103">
        <f t="shared" si="0"/>
        <v>252527.3259</v>
      </c>
      <c r="O13" s="101">
        <v>1617123</v>
      </c>
      <c r="P13" s="104">
        <v>8.5599999999999996E-2</v>
      </c>
      <c r="Q13" s="104">
        <v>0.30859999999999999</v>
      </c>
      <c r="R13" s="97">
        <v>5</v>
      </c>
      <c r="S13" s="101">
        <v>5075103</v>
      </c>
      <c r="T13" s="101">
        <v>3508926</v>
      </c>
      <c r="U13" s="101">
        <v>7</v>
      </c>
      <c r="V13" s="101">
        <v>5287877</v>
      </c>
      <c r="W13" s="104">
        <v>0.89800000000000002</v>
      </c>
      <c r="X13" s="101">
        <v>10646457</v>
      </c>
    </row>
    <row r="14" spans="1:24">
      <c r="A14" s="93" t="s">
        <v>145</v>
      </c>
      <c r="B14" s="93">
        <v>447317111</v>
      </c>
      <c r="C14" s="94">
        <v>10</v>
      </c>
      <c r="D14" s="95" t="s">
        <v>122</v>
      </c>
      <c r="E14" s="96" t="s">
        <v>128</v>
      </c>
      <c r="F14" s="97">
        <v>13166350615</v>
      </c>
      <c r="G14" s="106" t="s">
        <v>18</v>
      </c>
      <c r="H14" s="99"/>
      <c r="I14" s="100"/>
      <c r="L14" s="101">
        <v>5031498</v>
      </c>
      <c r="M14" s="102">
        <v>6.3285999999999995E-2</v>
      </c>
      <c r="N14" s="103">
        <f t="shared" si="0"/>
        <v>318423.38242799998</v>
      </c>
      <c r="O14" s="101">
        <v>1463160</v>
      </c>
      <c r="P14" s="104">
        <v>2.8899999999999999E-2</v>
      </c>
      <c r="Q14" s="104">
        <v>0.48480000000000001</v>
      </c>
      <c r="R14" s="97">
        <v>6</v>
      </c>
      <c r="S14" s="101">
        <v>13037165</v>
      </c>
      <c r="T14" s="101">
        <v>6716115</v>
      </c>
      <c r="U14" s="101">
        <v>19</v>
      </c>
      <c r="V14" s="101">
        <v>8365309</v>
      </c>
      <c r="W14" s="104">
        <v>0.88100000000000001</v>
      </c>
      <c r="X14" s="101">
        <v>4432750</v>
      </c>
    </row>
    <row r="15" spans="1:24">
      <c r="A15" s="93" t="s">
        <v>146</v>
      </c>
      <c r="B15" s="93">
        <v>1577804</v>
      </c>
      <c r="C15" s="94">
        <v>10</v>
      </c>
      <c r="D15" s="95" t="s">
        <v>125</v>
      </c>
      <c r="E15" s="96" t="s">
        <v>147</v>
      </c>
      <c r="F15" s="97">
        <v>17317198995</v>
      </c>
      <c r="G15" s="105"/>
      <c r="H15" s="100"/>
      <c r="I15" s="100"/>
      <c r="J15" t="s">
        <v>148</v>
      </c>
      <c r="K15" t="s">
        <v>149</v>
      </c>
      <c r="L15" s="101">
        <v>8530041</v>
      </c>
      <c r="M15" s="102">
        <v>3.9768999999999999E-2</v>
      </c>
      <c r="N15" s="103">
        <f t="shared" si="0"/>
        <v>339231.20052899997</v>
      </c>
      <c r="O15" s="101">
        <v>1247945</v>
      </c>
      <c r="P15" s="104">
        <v>8.7999999999999995E-2</v>
      </c>
      <c r="Q15" s="104">
        <v>0.45450000000000002</v>
      </c>
      <c r="R15" s="97">
        <v>8</v>
      </c>
      <c r="S15" s="101">
        <v>5237278</v>
      </c>
      <c r="T15" s="101">
        <v>2856697</v>
      </c>
      <c r="U15" s="101">
        <v>13</v>
      </c>
      <c r="V15" s="101">
        <v>4967580</v>
      </c>
      <c r="W15" s="104">
        <v>0.88</v>
      </c>
      <c r="X15" s="101">
        <v>7506436</v>
      </c>
    </row>
    <row r="16" spans="1:24">
      <c r="A16" s="93" t="s">
        <v>150</v>
      </c>
      <c r="B16" s="93">
        <v>546195</v>
      </c>
      <c r="C16" s="94">
        <v>10</v>
      </c>
      <c r="D16" s="95" t="s">
        <v>125</v>
      </c>
      <c r="E16" s="96" t="s">
        <v>151</v>
      </c>
      <c r="F16" s="97">
        <v>18917132625</v>
      </c>
      <c r="G16" s="105"/>
      <c r="H16" s="100"/>
      <c r="I16" s="100"/>
      <c r="J16" t="s">
        <v>152</v>
      </c>
      <c r="L16" s="101">
        <v>19885416</v>
      </c>
      <c r="M16" s="102">
        <v>4.0031999999999998E-2</v>
      </c>
      <c r="N16" s="103">
        <f t="shared" si="0"/>
        <v>796052.97331199993</v>
      </c>
      <c r="O16" s="101">
        <v>3551535</v>
      </c>
      <c r="P16" s="104">
        <v>9.9299999999999999E-2</v>
      </c>
      <c r="Q16" s="104">
        <v>0.24859999999999999</v>
      </c>
      <c r="R16" s="97">
        <v>13</v>
      </c>
      <c r="S16" s="101">
        <v>5960429</v>
      </c>
      <c r="T16" s="101">
        <v>4478666</v>
      </c>
      <c r="U16" s="101">
        <v>25</v>
      </c>
      <c r="V16" s="101">
        <v>5722067</v>
      </c>
      <c r="W16" s="104">
        <v>0.874</v>
      </c>
      <c r="X16" s="101">
        <v>17379854</v>
      </c>
    </row>
    <row r="17" spans="1:24">
      <c r="A17" s="93" t="s">
        <v>153</v>
      </c>
      <c r="B17" s="93">
        <v>5294454</v>
      </c>
      <c r="C17" s="94">
        <v>10</v>
      </c>
      <c r="D17" s="95" t="s">
        <v>125</v>
      </c>
      <c r="E17" s="96" t="s">
        <v>154</v>
      </c>
      <c r="F17" s="97">
        <v>13366696117</v>
      </c>
      <c r="G17" s="106" t="s">
        <v>137</v>
      </c>
      <c r="H17" s="99" t="s">
        <v>155</v>
      </c>
      <c r="I17" s="100"/>
      <c r="J17" t="s">
        <v>156</v>
      </c>
      <c r="L17" s="101">
        <v>9723112</v>
      </c>
      <c r="M17" s="102">
        <v>5.9664000000000002E-2</v>
      </c>
      <c r="N17" s="103">
        <f t="shared" si="0"/>
        <v>580119.75436799997</v>
      </c>
      <c r="O17" s="101">
        <v>3243630</v>
      </c>
      <c r="P17" s="104">
        <v>0.1396</v>
      </c>
      <c r="Q17" s="104">
        <v>9.2399999999999996E-2</v>
      </c>
      <c r="R17" s="97">
        <v>2</v>
      </c>
      <c r="S17" s="101">
        <v>35765822</v>
      </c>
      <c r="T17" s="101">
        <v>32461060</v>
      </c>
      <c r="U17" s="101">
        <v>6</v>
      </c>
      <c r="V17" s="101">
        <v>22923411</v>
      </c>
      <c r="W17" s="104">
        <v>0.86799999999999999</v>
      </c>
      <c r="X17" s="101">
        <v>8439661</v>
      </c>
    </row>
    <row r="18" spans="1:24">
      <c r="A18" s="93" t="s">
        <v>157</v>
      </c>
      <c r="B18" s="93">
        <v>562197</v>
      </c>
      <c r="C18" s="94">
        <v>10</v>
      </c>
      <c r="D18" s="95" t="s">
        <v>125</v>
      </c>
      <c r="E18" s="96" t="s">
        <v>158</v>
      </c>
      <c r="F18" s="97">
        <v>15685317409</v>
      </c>
      <c r="G18" s="105"/>
      <c r="H18" s="100"/>
      <c r="I18" s="100"/>
      <c r="K18" t="s">
        <v>159</v>
      </c>
      <c r="L18" s="101">
        <v>10578348</v>
      </c>
      <c r="M18" s="102">
        <v>4.9375000000000002E-2</v>
      </c>
      <c r="N18" s="103">
        <f t="shared" si="0"/>
        <v>522305.9325</v>
      </c>
      <c r="O18" s="101">
        <v>1683015</v>
      </c>
      <c r="P18" s="104">
        <v>2.6499999999999999E-2</v>
      </c>
      <c r="Q18" s="104">
        <v>0.12670000000000001</v>
      </c>
      <c r="R18" s="97">
        <v>16</v>
      </c>
      <c r="S18" s="101">
        <v>2622510</v>
      </c>
      <c r="T18" s="101">
        <v>2290238</v>
      </c>
      <c r="U18" s="101">
        <v>34</v>
      </c>
      <c r="V18" s="101">
        <v>2102966</v>
      </c>
      <c r="W18" s="104">
        <v>0.86399999999999999</v>
      </c>
      <c r="X18" s="101">
        <v>9139693</v>
      </c>
    </row>
    <row r="19" spans="1:24">
      <c r="A19" s="93" t="s">
        <v>160</v>
      </c>
      <c r="B19" s="93">
        <v>405370021</v>
      </c>
      <c r="C19" s="94">
        <v>10</v>
      </c>
      <c r="D19" s="95" t="s">
        <v>125</v>
      </c>
      <c r="E19" s="96" t="s">
        <v>147</v>
      </c>
      <c r="F19" s="97">
        <v>15653190229</v>
      </c>
      <c r="G19" s="106" t="s">
        <v>137</v>
      </c>
      <c r="H19" s="99" t="s">
        <v>155</v>
      </c>
      <c r="I19" s="100"/>
      <c r="J19" t="s">
        <v>161</v>
      </c>
      <c r="K19" t="s">
        <v>162</v>
      </c>
      <c r="L19" s="101">
        <v>5432850</v>
      </c>
      <c r="M19" s="102">
        <v>0.103798</v>
      </c>
      <c r="N19" s="103">
        <f t="shared" si="0"/>
        <v>563918.96429999999</v>
      </c>
      <c r="O19" s="101">
        <v>1735796</v>
      </c>
      <c r="P19" s="104">
        <v>0.24859999999999999</v>
      </c>
      <c r="Q19" s="104">
        <v>0.4622</v>
      </c>
      <c r="R19" s="97">
        <v>33</v>
      </c>
      <c r="S19" s="101">
        <v>4146601</v>
      </c>
      <c r="T19" s="101">
        <v>2230105</v>
      </c>
      <c r="U19" s="101">
        <v>63</v>
      </c>
      <c r="V19" s="101">
        <v>4276787</v>
      </c>
      <c r="W19" s="104">
        <v>0.80800000000000005</v>
      </c>
      <c r="X19" s="101">
        <v>4389743</v>
      </c>
    </row>
    <row r="20" spans="1:24">
      <c r="A20" s="93" t="s">
        <v>163</v>
      </c>
      <c r="B20" s="93">
        <v>5970160</v>
      </c>
      <c r="C20" s="94">
        <v>10</v>
      </c>
      <c r="D20" s="95" t="s">
        <v>122</v>
      </c>
      <c r="E20" s="96" t="s">
        <v>154</v>
      </c>
      <c r="F20" s="97">
        <v>15029141666</v>
      </c>
      <c r="G20" s="105" t="s">
        <v>18</v>
      </c>
      <c r="H20" s="100"/>
      <c r="I20" s="100"/>
      <c r="J20" t="s">
        <v>164</v>
      </c>
      <c r="L20" s="101">
        <v>14504473</v>
      </c>
      <c r="M20" s="102">
        <v>0.15024399999999999</v>
      </c>
      <c r="N20" s="103">
        <f t="shared" si="0"/>
        <v>2179210.0414119996</v>
      </c>
      <c r="O20" s="101">
        <v>4728458</v>
      </c>
      <c r="P20" s="104">
        <v>3.1600000000000003E-2</v>
      </c>
      <c r="Q20" s="104">
        <v>0.48149999999999998</v>
      </c>
      <c r="R20" s="97">
        <v>6</v>
      </c>
      <c r="S20" s="101">
        <v>40144028</v>
      </c>
      <c r="T20" s="101">
        <v>20814888</v>
      </c>
      <c r="U20" s="101">
        <v>13</v>
      </c>
      <c r="V20" s="101">
        <v>29501157</v>
      </c>
      <c r="W20" s="104">
        <v>0.80700000000000005</v>
      </c>
      <c r="X20" s="101">
        <v>11705110</v>
      </c>
    </row>
    <row r="21" spans="1:24">
      <c r="A21" s="93" t="s">
        <v>165</v>
      </c>
      <c r="B21" s="93">
        <v>192090</v>
      </c>
      <c r="C21" s="94">
        <v>10</v>
      </c>
      <c r="D21" s="95" t="s">
        <v>122</v>
      </c>
      <c r="E21" s="96" t="s">
        <v>130</v>
      </c>
      <c r="F21" s="97">
        <v>15061880792</v>
      </c>
      <c r="G21" s="105"/>
      <c r="H21" s="100"/>
      <c r="I21" s="100"/>
      <c r="J21" t="s">
        <v>166</v>
      </c>
      <c r="L21" s="101">
        <v>2617724</v>
      </c>
      <c r="M21" s="102">
        <v>1.3712E-2</v>
      </c>
      <c r="N21" s="103">
        <f t="shared" si="0"/>
        <v>35894.231487999998</v>
      </c>
      <c r="O21" s="101">
        <v>214130</v>
      </c>
      <c r="P21" s="104">
        <v>0.22120000000000001</v>
      </c>
      <c r="Q21" s="104">
        <v>0.44209999999999999</v>
      </c>
      <c r="R21" s="97">
        <v>3</v>
      </c>
      <c r="S21" s="101">
        <v>3232629</v>
      </c>
      <c r="T21" s="101">
        <v>1803484</v>
      </c>
      <c r="U21" s="101">
        <v>6</v>
      </c>
      <c r="V21" s="101">
        <v>4015594</v>
      </c>
      <c r="W21" s="104">
        <v>0.872</v>
      </c>
      <c r="X21" s="101">
        <v>2282655</v>
      </c>
    </row>
    <row r="22" spans="1:24">
      <c r="A22" s="93" t="s">
        <v>88</v>
      </c>
      <c r="B22" s="93">
        <v>25150941</v>
      </c>
      <c r="C22" s="94">
        <v>10</v>
      </c>
      <c r="D22" s="95" t="s">
        <v>122</v>
      </c>
      <c r="E22" s="96" t="s">
        <v>167</v>
      </c>
      <c r="F22" s="97">
        <v>18688392122</v>
      </c>
      <c r="G22" s="106" t="s">
        <v>26</v>
      </c>
      <c r="H22" s="99" t="s">
        <v>155</v>
      </c>
      <c r="I22" s="100" t="s">
        <v>168</v>
      </c>
      <c r="J22" t="s">
        <v>169</v>
      </c>
      <c r="L22" s="101">
        <v>3347285</v>
      </c>
      <c r="M22" s="102">
        <v>0.13448099999999999</v>
      </c>
      <c r="N22" s="103">
        <f t="shared" si="0"/>
        <v>450146.23408499995</v>
      </c>
      <c r="O22" s="101">
        <v>1385107</v>
      </c>
      <c r="P22" s="104">
        <v>9.2799999999999994E-2</v>
      </c>
      <c r="Q22" s="104">
        <v>0.18260000000000001</v>
      </c>
      <c r="R22" s="97">
        <v>16</v>
      </c>
      <c r="S22" s="101">
        <v>2280023</v>
      </c>
      <c r="T22" s="101">
        <v>1863691</v>
      </c>
      <c r="U22" s="101">
        <v>30</v>
      </c>
      <c r="V22" s="101">
        <v>1894603</v>
      </c>
      <c r="W22" s="104">
        <v>0.92900000000000005</v>
      </c>
      <c r="X22" s="101">
        <v>3109628</v>
      </c>
    </row>
    <row r="23" spans="1:24">
      <c r="A23" s="93" t="s">
        <v>170</v>
      </c>
      <c r="B23" s="93">
        <v>504934876</v>
      </c>
      <c r="C23" s="94">
        <v>10</v>
      </c>
      <c r="D23" s="95" t="s">
        <v>122</v>
      </c>
      <c r="E23" s="96" t="s">
        <v>130</v>
      </c>
      <c r="F23" s="97">
        <v>13920688718</v>
      </c>
      <c r="G23" s="105" t="s">
        <v>22</v>
      </c>
      <c r="H23" s="100"/>
      <c r="I23" s="100"/>
      <c r="J23" t="s">
        <v>166</v>
      </c>
      <c r="L23" s="101">
        <v>3873780</v>
      </c>
      <c r="M23" s="102">
        <v>0.145731</v>
      </c>
      <c r="N23" s="103">
        <f t="shared" si="0"/>
        <v>564529.83317999996</v>
      </c>
      <c r="O23" s="101">
        <v>1009507</v>
      </c>
      <c r="P23" s="104">
        <v>7.17E-2</v>
      </c>
      <c r="Q23" s="104">
        <v>4.2000000000000003E-2</v>
      </c>
      <c r="R23" s="97">
        <v>12</v>
      </c>
      <c r="S23" s="101">
        <v>4009129</v>
      </c>
      <c r="T23" s="101">
        <v>3840746</v>
      </c>
      <c r="U23" s="101">
        <v>25</v>
      </c>
      <c r="V23" s="101">
        <v>3422494</v>
      </c>
      <c r="W23" s="104">
        <v>0.92</v>
      </c>
      <c r="X23" s="101">
        <v>3563878</v>
      </c>
    </row>
    <row r="24" spans="1:24">
      <c r="A24" s="93" t="s">
        <v>171</v>
      </c>
      <c r="B24" s="93">
        <v>544336675</v>
      </c>
      <c r="C24" s="94">
        <v>10</v>
      </c>
      <c r="D24" s="95" t="s">
        <v>125</v>
      </c>
      <c r="E24" s="96" t="s">
        <v>172</v>
      </c>
      <c r="F24" s="97">
        <v>18614224647</v>
      </c>
      <c r="G24" s="105"/>
      <c r="H24" s="100"/>
      <c r="I24" s="100"/>
      <c r="L24" s="101">
        <v>4484019</v>
      </c>
      <c r="M24" s="102">
        <v>8.7583999999999995E-2</v>
      </c>
      <c r="N24" s="103">
        <f t="shared" si="0"/>
        <v>392728.32009599998</v>
      </c>
      <c r="O24" s="101">
        <v>1247902</v>
      </c>
      <c r="P24" s="104">
        <v>0.59299999999999997</v>
      </c>
      <c r="Q24" s="104">
        <v>8.0999999999999996E-3</v>
      </c>
      <c r="R24" s="97">
        <v>26</v>
      </c>
      <c r="S24" s="101">
        <v>2756002</v>
      </c>
      <c r="T24" s="101">
        <v>2733678</v>
      </c>
      <c r="U24" s="101">
        <v>53</v>
      </c>
      <c r="V24" s="101">
        <v>2193569</v>
      </c>
      <c r="W24" s="104">
        <v>0.91</v>
      </c>
      <c r="X24" s="101">
        <v>4080457</v>
      </c>
    </row>
    <row r="25" spans="1:24">
      <c r="A25" s="93" t="s">
        <v>173</v>
      </c>
      <c r="B25" s="93">
        <v>15892313</v>
      </c>
      <c r="C25" s="94">
        <v>10</v>
      </c>
      <c r="D25" s="95" t="s">
        <v>125</v>
      </c>
      <c r="E25" s="97">
        <v>0</v>
      </c>
      <c r="F25" s="97">
        <v>18068801009</v>
      </c>
      <c r="G25" s="105"/>
      <c r="H25" s="100"/>
      <c r="I25" s="100"/>
      <c r="L25" s="101">
        <v>2913602</v>
      </c>
      <c r="M25" s="102">
        <v>0.123891</v>
      </c>
      <c r="N25" s="103">
        <f t="shared" si="0"/>
        <v>360969.065382</v>
      </c>
      <c r="O25" s="101">
        <v>1297718</v>
      </c>
      <c r="P25" s="104">
        <v>0.19270000000000001</v>
      </c>
      <c r="Q25" s="104">
        <v>0.1144</v>
      </c>
      <c r="R25" s="97">
        <v>13</v>
      </c>
      <c r="S25" s="101">
        <v>2664313</v>
      </c>
      <c r="T25" s="101">
        <v>2359516</v>
      </c>
      <c r="U25" s="101">
        <v>26</v>
      </c>
      <c r="V25" s="101">
        <v>2333432</v>
      </c>
      <c r="W25" s="104">
        <v>0.90400000000000003</v>
      </c>
      <c r="X25" s="101">
        <v>2633896</v>
      </c>
    </row>
    <row r="26" spans="1:24">
      <c r="A26" s="93" t="s">
        <v>174</v>
      </c>
      <c r="B26" s="93">
        <v>7552204</v>
      </c>
      <c r="C26" s="94">
        <v>10</v>
      </c>
      <c r="D26" s="95" t="s">
        <v>125</v>
      </c>
      <c r="E26" s="96" t="s">
        <v>154</v>
      </c>
      <c r="F26" s="97">
        <v>18561590099</v>
      </c>
      <c r="G26" s="106" t="s">
        <v>137</v>
      </c>
      <c r="H26" s="99" t="s">
        <v>155</v>
      </c>
      <c r="I26" s="100"/>
      <c r="J26" t="s">
        <v>175</v>
      </c>
      <c r="K26" t="s">
        <v>176</v>
      </c>
      <c r="L26" s="101">
        <v>4700588</v>
      </c>
      <c r="M26" s="102">
        <v>5.7551999999999999E-2</v>
      </c>
      <c r="N26" s="103">
        <f t="shared" si="0"/>
        <v>270528.24057600001</v>
      </c>
      <c r="O26" s="101">
        <v>1023318</v>
      </c>
      <c r="P26" s="104">
        <v>9.0399999999999994E-2</v>
      </c>
      <c r="Q26" s="104">
        <v>0.1905</v>
      </c>
      <c r="R26" s="97">
        <v>5</v>
      </c>
      <c r="S26" s="101">
        <v>4436190</v>
      </c>
      <c r="T26" s="101">
        <v>3591201</v>
      </c>
      <c r="U26" s="101">
        <v>9</v>
      </c>
      <c r="V26" s="101">
        <v>3850213</v>
      </c>
      <c r="W26" s="104">
        <v>0.88900000000000001</v>
      </c>
      <c r="X26" s="101">
        <v>4178823</v>
      </c>
    </row>
    <row r="27" spans="1:24">
      <c r="A27" s="93" t="s">
        <v>177</v>
      </c>
      <c r="B27" s="93">
        <v>147166910</v>
      </c>
      <c r="C27" s="94">
        <v>10</v>
      </c>
      <c r="D27" s="95" t="s">
        <v>125</v>
      </c>
      <c r="E27" s="96" t="s">
        <v>154</v>
      </c>
      <c r="F27" s="97">
        <v>13120602141</v>
      </c>
      <c r="G27" s="105"/>
      <c r="H27" s="100"/>
      <c r="I27" s="100"/>
      <c r="K27" t="s">
        <v>178</v>
      </c>
      <c r="L27" s="101">
        <v>3588794</v>
      </c>
      <c r="M27" s="102">
        <v>0.14921200000000001</v>
      </c>
      <c r="N27" s="103">
        <f t="shared" si="0"/>
        <v>535491.13032800006</v>
      </c>
      <c r="O27" s="101">
        <v>1219113</v>
      </c>
      <c r="P27" s="104">
        <v>5.8999999999999997E-2</v>
      </c>
      <c r="Q27" s="104">
        <v>0.2707</v>
      </c>
      <c r="R27" s="97">
        <v>8</v>
      </c>
      <c r="S27" s="101">
        <v>5638180</v>
      </c>
      <c r="T27" s="101">
        <v>4111925</v>
      </c>
      <c r="U27" s="101">
        <v>21</v>
      </c>
      <c r="V27" s="101">
        <v>3595350</v>
      </c>
      <c r="W27" s="104">
        <v>0.88300000000000001</v>
      </c>
      <c r="X27" s="101">
        <v>3168905</v>
      </c>
    </row>
    <row r="28" spans="1:24">
      <c r="A28" s="93" t="s">
        <v>179</v>
      </c>
      <c r="B28" s="93">
        <v>19642758</v>
      </c>
      <c r="C28" s="94">
        <v>10</v>
      </c>
      <c r="D28" s="95" t="s">
        <v>125</v>
      </c>
      <c r="E28" s="96" t="s">
        <v>154</v>
      </c>
      <c r="F28" s="97">
        <v>17521693560</v>
      </c>
      <c r="G28" s="106" t="s">
        <v>137</v>
      </c>
      <c r="H28" s="99" t="s">
        <v>155</v>
      </c>
      <c r="I28" s="100"/>
      <c r="J28" t="s">
        <v>180</v>
      </c>
      <c r="L28" s="101">
        <v>4137596</v>
      </c>
      <c r="M28" s="102">
        <v>6.4480999999999997E-2</v>
      </c>
      <c r="N28" s="103">
        <f t="shared" si="0"/>
        <v>266796.32767599996</v>
      </c>
      <c r="O28" s="101">
        <v>957853</v>
      </c>
      <c r="P28" s="104">
        <v>6.5199999999999994E-2</v>
      </c>
      <c r="Q28" s="104">
        <v>0.17130000000000001</v>
      </c>
      <c r="R28" s="97">
        <v>7</v>
      </c>
      <c r="S28" s="101">
        <v>3050107</v>
      </c>
      <c r="T28" s="101">
        <v>2527624</v>
      </c>
      <c r="U28" s="101">
        <v>9</v>
      </c>
      <c r="V28" s="101">
        <v>2795912</v>
      </c>
      <c r="W28" s="104">
        <v>0.88300000000000001</v>
      </c>
      <c r="X28" s="101">
        <v>3653497</v>
      </c>
    </row>
    <row r="29" spans="1:24">
      <c r="A29" s="93" t="s">
        <v>181</v>
      </c>
      <c r="B29" s="93">
        <v>21837784</v>
      </c>
      <c r="C29" s="94">
        <v>9</v>
      </c>
      <c r="D29" s="95" t="s">
        <v>125</v>
      </c>
      <c r="E29" s="96" t="s">
        <v>132</v>
      </c>
      <c r="F29" s="97">
        <v>13469994009</v>
      </c>
      <c r="G29" s="105"/>
      <c r="H29" s="100"/>
      <c r="I29" s="100"/>
      <c r="L29" s="101">
        <v>6974032</v>
      </c>
      <c r="M29" s="102">
        <v>3.9905999999999997E-2</v>
      </c>
      <c r="N29" s="103">
        <f t="shared" si="0"/>
        <v>278305.72099199996</v>
      </c>
      <c r="O29" s="101">
        <v>683455</v>
      </c>
      <c r="P29" s="104">
        <v>1.14E-2</v>
      </c>
      <c r="Q29" s="104">
        <v>6.4899999999999999E-2</v>
      </c>
      <c r="R29" s="97">
        <v>8</v>
      </c>
      <c r="S29" s="101">
        <v>2555029</v>
      </c>
      <c r="T29" s="101">
        <v>2389208</v>
      </c>
      <c r="U29" s="101">
        <v>20</v>
      </c>
      <c r="V29" s="101">
        <v>2523463</v>
      </c>
      <c r="W29" s="104">
        <v>0.91900000000000004</v>
      </c>
      <c r="X29" s="101">
        <v>6409135</v>
      </c>
    </row>
    <row r="30" spans="1:24">
      <c r="A30" s="93" t="s">
        <v>182</v>
      </c>
      <c r="B30" s="93">
        <v>519872016</v>
      </c>
      <c r="C30" s="94">
        <v>9</v>
      </c>
      <c r="D30" s="95" t="s">
        <v>125</v>
      </c>
      <c r="E30" s="96" t="s">
        <v>130</v>
      </c>
      <c r="F30" s="97">
        <v>17301394987</v>
      </c>
      <c r="G30" s="105"/>
      <c r="H30" s="100"/>
      <c r="I30" s="100"/>
      <c r="L30" s="101">
        <v>6670832</v>
      </c>
      <c r="M30" s="102">
        <v>4.0016000000000003E-2</v>
      </c>
      <c r="N30" s="103">
        <f t="shared" si="0"/>
        <v>266940.01331200002</v>
      </c>
      <c r="O30" s="101">
        <v>835188</v>
      </c>
      <c r="P30" s="104">
        <v>5.0200000000000002E-2</v>
      </c>
      <c r="Q30" s="104">
        <v>0.25</v>
      </c>
      <c r="R30" s="97">
        <v>6</v>
      </c>
      <c r="S30" s="101">
        <v>3267436</v>
      </c>
      <c r="T30" s="101">
        <v>2450577</v>
      </c>
      <c r="U30" s="101">
        <v>12</v>
      </c>
      <c r="V30" s="101">
        <v>3411058</v>
      </c>
      <c r="W30" s="104">
        <v>0.90500000000000003</v>
      </c>
      <c r="X30" s="101">
        <v>6037103</v>
      </c>
    </row>
    <row r="31" spans="1:24">
      <c r="A31" s="93" t="s">
        <v>183</v>
      </c>
      <c r="B31" s="93">
        <v>37663924</v>
      </c>
      <c r="C31" s="94">
        <v>9</v>
      </c>
      <c r="D31" s="95" t="s">
        <v>125</v>
      </c>
      <c r="E31" s="96" t="s">
        <v>130</v>
      </c>
      <c r="F31" s="97">
        <v>13666618672</v>
      </c>
      <c r="G31" s="105" t="s">
        <v>184</v>
      </c>
      <c r="H31" s="100"/>
      <c r="I31" s="100"/>
      <c r="J31" t="s">
        <v>185</v>
      </c>
      <c r="L31" s="101">
        <v>7795076</v>
      </c>
      <c r="M31" s="102">
        <v>7.5839999999999996E-3</v>
      </c>
      <c r="N31" s="103">
        <f t="shared" si="0"/>
        <v>59117.856383999999</v>
      </c>
      <c r="O31" s="101">
        <v>1405452</v>
      </c>
      <c r="P31" s="104">
        <v>0.14580000000000001</v>
      </c>
      <c r="Q31" s="104">
        <v>1.26E-2</v>
      </c>
      <c r="R31" s="97">
        <v>10</v>
      </c>
      <c r="S31" s="101">
        <v>2033351</v>
      </c>
      <c r="T31" s="101">
        <v>2007731</v>
      </c>
      <c r="U31" s="101">
        <v>20</v>
      </c>
      <c r="V31" s="101">
        <v>1766386</v>
      </c>
      <c r="W31" s="104">
        <v>0.91900000000000004</v>
      </c>
      <c r="X31" s="101">
        <v>7163675</v>
      </c>
    </row>
    <row r="32" spans="1:24">
      <c r="A32" s="93" t="s">
        <v>84</v>
      </c>
      <c r="B32" s="93">
        <v>8960728</v>
      </c>
      <c r="C32" s="94">
        <v>9</v>
      </c>
      <c r="D32" s="95" t="s">
        <v>122</v>
      </c>
      <c r="E32" s="96" t="s">
        <v>143</v>
      </c>
      <c r="F32" s="97">
        <v>17701672908</v>
      </c>
      <c r="G32" s="105" t="s">
        <v>184</v>
      </c>
      <c r="H32" s="100"/>
      <c r="I32" s="100"/>
      <c r="K32" t="s">
        <v>186</v>
      </c>
      <c r="L32" s="101">
        <v>8995741</v>
      </c>
      <c r="M32" s="102">
        <v>1.1931000000000001E-2</v>
      </c>
      <c r="N32" s="103">
        <f t="shared" si="0"/>
        <v>107328.18587100001</v>
      </c>
      <c r="O32" s="101">
        <v>1139760</v>
      </c>
      <c r="P32" s="104">
        <v>8.77E-2</v>
      </c>
      <c r="Q32" s="104">
        <v>0.21640000000000001</v>
      </c>
      <c r="R32" s="97">
        <v>4</v>
      </c>
      <c r="S32" s="101">
        <v>4647770</v>
      </c>
      <c r="T32" s="101">
        <v>3641993</v>
      </c>
      <c r="U32" s="101">
        <v>9</v>
      </c>
      <c r="V32" s="101">
        <v>3425441</v>
      </c>
      <c r="W32" s="104">
        <v>0.91900000000000004</v>
      </c>
      <c r="X32" s="101">
        <v>8267086</v>
      </c>
    </row>
    <row r="33" spans="1:24" ht="14">
      <c r="A33" s="93" t="s">
        <v>187</v>
      </c>
      <c r="B33" s="93">
        <v>8366990</v>
      </c>
      <c r="C33" s="94">
        <v>9</v>
      </c>
      <c r="D33" s="95" t="s">
        <v>125</v>
      </c>
      <c r="E33" s="96" t="s">
        <v>188</v>
      </c>
      <c r="F33" s="97">
        <v>17742007231</v>
      </c>
      <c r="G33" s="105"/>
      <c r="H33" s="100"/>
      <c r="I33" s="100"/>
      <c r="L33" s="101">
        <v>5172690</v>
      </c>
      <c r="M33" s="102">
        <v>3.6908999999999997E-2</v>
      </c>
      <c r="N33" s="103">
        <f t="shared" si="0"/>
        <v>190918.81521</v>
      </c>
      <c r="O33" s="101">
        <v>1723540</v>
      </c>
      <c r="P33" s="104">
        <v>7.51E-2</v>
      </c>
      <c r="Q33" s="104">
        <v>0.30330000000000001</v>
      </c>
      <c r="R33" s="97">
        <v>10</v>
      </c>
      <c r="S33" s="101">
        <v>4300312</v>
      </c>
      <c r="T33" s="101">
        <v>2996027</v>
      </c>
      <c r="U33" s="101">
        <v>23</v>
      </c>
      <c r="V33" s="101">
        <v>2788021</v>
      </c>
      <c r="W33" s="104">
        <v>0.89600000000000002</v>
      </c>
      <c r="X33" s="101">
        <v>4634730</v>
      </c>
    </row>
    <row r="34" spans="1:24" ht="14">
      <c r="A34" s="93" t="s">
        <v>189</v>
      </c>
      <c r="B34" s="93">
        <v>163637592</v>
      </c>
      <c r="C34" s="94">
        <v>9</v>
      </c>
      <c r="D34" s="95" t="s">
        <v>122</v>
      </c>
      <c r="E34" s="96" t="s">
        <v>190</v>
      </c>
      <c r="F34" s="97">
        <v>18668180100</v>
      </c>
      <c r="G34" s="105" t="s">
        <v>191</v>
      </c>
      <c r="H34" s="100"/>
      <c r="I34" s="100"/>
      <c r="L34" s="101">
        <v>12200450</v>
      </c>
      <c r="M34" s="102">
        <v>1.4073E-2</v>
      </c>
      <c r="N34" s="103">
        <f t="shared" si="0"/>
        <v>171696.93285000001</v>
      </c>
      <c r="O34" s="101">
        <v>1360350</v>
      </c>
      <c r="P34" s="104">
        <v>0.1759</v>
      </c>
      <c r="Q34" s="104">
        <v>0.69499999999999995</v>
      </c>
      <c r="R34" s="97">
        <v>6</v>
      </c>
      <c r="S34" s="101">
        <v>9142546</v>
      </c>
      <c r="T34" s="101">
        <v>2788477</v>
      </c>
      <c r="U34" s="101">
        <v>10</v>
      </c>
      <c r="V34" s="101">
        <v>8066312</v>
      </c>
      <c r="W34" s="104">
        <v>0.89200000000000002</v>
      </c>
      <c r="X34" s="101">
        <v>10882801</v>
      </c>
    </row>
    <row r="35" spans="1:24" ht="14">
      <c r="A35" s="93" t="s">
        <v>192</v>
      </c>
      <c r="B35" s="93">
        <v>337521240</v>
      </c>
      <c r="C35" s="94">
        <v>9</v>
      </c>
      <c r="D35" s="95" t="s">
        <v>125</v>
      </c>
      <c r="E35" s="96" t="s">
        <v>128</v>
      </c>
      <c r="F35" s="97">
        <v>15711992581</v>
      </c>
      <c r="G35" s="105"/>
      <c r="H35" s="100"/>
      <c r="I35" s="100"/>
      <c r="L35" s="101">
        <v>9106917</v>
      </c>
      <c r="M35" s="102">
        <v>1.8832999999999999E-2</v>
      </c>
      <c r="N35" s="103">
        <f t="shared" si="0"/>
        <v>171510.56786099999</v>
      </c>
      <c r="O35" s="101">
        <v>1676583</v>
      </c>
      <c r="P35" s="104">
        <v>7.9699999999999993E-2</v>
      </c>
      <c r="Q35" s="104">
        <v>0.53539999999999999</v>
      </c>
      <c r="R35" s="97">
        <v>7</v>
      </c>
      <c r="S35" s="101">
        <v>4658070</v>
      </c>
      <c r="T35" s="101">
        <v>2164139</v>
      </c>
      <c r="U35" s="101">
        <v>18</v>
      </c>
      <c r="V35" s="101">
        <v>3786936</v>
      </c>
      <c r="W35" s="104">
        <v>0.88800000000000001</v>
      </c>
      <c r="X35" s="101">
        <v>8086942</v>
      </c>
    </row>
    <row r="36" spans="1:24" ht="14">
      <c r="A36" s="93" t="s">
        <v>193</v>
      </c>
      <c r="B36" s="93">
        <v>402576555</v>
      </c>
      <c r="C36" s="94">
        <v>9</v>
      </c>
      <c r="D36" s="95" t="s">
        <v>122</v>
      </c>
      <c r="E36" s="96" t="s">
        <v>194</v>
      </c>
      <c r="F36" s="97">
        <v>13693008439</v>
      </c>
      <c r="G36" s="106" t="s">
        <v>137</v>
      </c>
      <c r="H36" s="99" t="s">
        <v>155</v>
      </c>
      <c r="I36" s="100"/>
      <c r="J36" t="s">
        <v>195</v>
      </c>
      <c r="K36" t="s">
        <v>196</v>
      </c>
      <c r="L36" s="101">
        <v>5385348</v>
      </c>
      <c r="M36" s="102">
        <v>2.2717999999999999E-2</v>
      </c>
      <c r="N36" s="103">
        <f t="shared" si="0"/>
        <v>122344.33586399999</v>
      </c>
      <c r="O36" s="101">
        <v>921433</v>
      </c>
      <c r="P36" s="104">
        <v>8.0399999999999999E-2</v>
      </c>
      <c r="Q36" s="104">
        <v>0.72609999999999997</v>
      </c>
      <c r="R36" s="97">
        <v>5</v>
      </c>
      <c r="S36" s="101">
        <v>7452699</v>
      </c>
      <c r="T36" s="101">
        <v>2041498</v>
      </c>
      <c r="U36" s="101">
        <v>10</v>
      </c>
      <c r="V36" s="101">
        <v>6050824</v>
      </c>
      <c r="W36" s="104">
        <v>0.85</v>
      </c>
      <c r="X36" s="101">
        <v>4577546</v>
      </c>
    </row>
    <row r="37" spans="1:24" ht="14">
      <c r="A37" s="93" t="s">
        <v>197</v>
      </c>
      <c r="B37" s="93">
        <v>321422126</v>
      </c>
      <c r="C37" s="94">
        <v>9</v>
      </c>
      <c r="D37" s="95" t="s">
        <v>125</v>
      </c>
      <c r="E37" s="96" t="s">
        <v>154</v>
      </c>
      <c r="F37" s="97">
        <v>13810803994</v>
      </c>
      <c r="G37" s="106" t="s">
        <v>137</v>
      </c>
      <c r="H37" s="99" t="s">
        <v>155</v>
      </c>
      <c r="I37" s="100"/>
      <c r="J37" t="s">
        <v>198</v>
      </c>
      <c r="K37" t="s">
        <v>199</v>
      </c>
      <c r="L37" s="101">
        <v>5163539</v>
      </c>
      <c r="M37" s="102">
        <v>1.3457999999999999E-2</v>
      </c>
      <c r="N37" s="103">
        <f t="shared" si="0"/>
        <v>69490.907861999993</v>
      </c>
      <c r="O37" s="101">
        <v>1193810</v>
      </c>
      <c r="P37" s="104">
        <v>0.34599999999999997</v>
      </c>
      <c r="Q37" s="104">
        <v>0.42749999999999999</v>
      </c>
      <c r="R37" s="97">
        <v>35</v>
      </c>
      <c r="S37" s="101">
        <v>4125174</v>
      </c>
      <c r="T37" s="101">
        <v>2361741</v>
      </c>
      <c r="U37" s="101">
        <v>68</v>
      </c>
      <c r="V37" s="101">
        <v>3922654</v>
      </c>
      <c r="W37" s="104">
        <v>0.81299999999999994</v>
      </c>
      <c r="X37" s="101">
        <v>4197957</v>
      </c>
    </row>
    <row r="38" spans="1:24" ht="14">
      <c r="A38" s="93" t="s">
        <v>200</v>
      </c>
      <c r="B38" s="93">
        <v>519253600</v>
      </c>
      <c r="C38" s="94">
        <v>9</v>
      </c>
      <c r="D38" s="95" t="s">
        <v>122</v>
      </c>
      <c r="E38" s="96" t="s">
        <v>194</v>
      </c>
      <c r="F38" s="97">
        <v>13810649810</v>
      </c>
      <c r="G38" s="106" t="s">
        <v>137</v>
      </c>
      <c r="H38" s="99" t="s">
        <v>155</v>
      </c>
      <c r="I38" s="100"/>
      <c r="J38" t="s">
        <v>201</v>
      </c>
      <c r="K38" t="s">
        <v>202</v>
      </c>
      <c r="L38" s="101">
        <v>4681451</v>
      </c>
      <c r="M38" s="102">
        <v>5.4342000000000001E-2</v>
      </c>
      <c r="N38" s="103">
        <f t="shared" si="0"/>
        <v>254399.41024200001</v>
      </c>
      <c r="O38" s="101">
        <v>915692</v>
      </c>
      <c r="P38" s="104">
        <v>0.13100000000000001</v>
      </c>
      <c r="Q38" s="104">
        <v>0.64910000000000001</v>
      </c>
      <c r="R38" s="97">
        <v>11</v>
      </c>
      <c r="S38" s="101">
        <v>5329862</v>
      </c>
      <c r="T38" s="101">
        <v>1870127</v>
      </c>
      <c r="U38" s="101">
        <v>24</v>
      </c>
      <c r="V38" s="101">
        <v>3909271</v>
      </c>
      <c r="W38" s="104">
        <v>0.77100000000000002</v>
      </c>
      <c r="X38" s="101">
        <v>3609399</v>
      </c>
    </row>
    <row r="39" spans="1:24" ht="14">
      <c r="A39" s="93" t="s">
        <v>203</v>
      </c>
      <c r="B39" s="93">
        <v>323024456</v>
      </c>
      <c r="C39" s="94">
        <v>8</v>
      </c>
      <c r="D39" s="95" t="s">
        <v>125</v>
      </c>
      <c r="E39" s="97" t="s">
        <v>204</v>
      </c>
      <c r="F39" s="97">
        <v>449887393</v>
      </c>
      <c r="G39" s="105"/>
      <c r="H39" s="100"/>
      <c r="I39" s="100"/>
      <c r="L39" s="101">
        <v>2108281</v>
      </c>
      <c r="M39" s="102">
        <v>0.24754699999999999</v>
      </c>
      <c r="N39" s="103">
        <f t="shared" si="0"/>
        <v>521898.63670699997</v>
      </c>
      <c r="O39" s="101">
        <v>888851</v>
      </c>
      <c r="P39" s="104">
        <v>0.1237</v>
      </c>
      <c r="Q39" s="104">
        <v>0.27129999999999999</v>
      </c>
      <c r="R39" s="97">
        <v>13</v>
      </c>
      <c r="S39" s="101">
        <v>3189713</v>
      </c>
      <c r="T39" s="101">
        <v>2324344</v>
      </c>
      <c r="U39" s="101">
        <v>23</v>
      </c>
      <c r="V39" s="101">
        <v>2694530</v>
      </c>
      <c r="W39" s="104">
        <v>0.90800000000000003</v>
      </c>
      <c r="X39" s="101">
        <v>1914319</v>
      </c>
    </row>
    <row r="40" spans="1:24" ht="14">
      <c r="A40" s="93" t="s">
        <v>205</v>
      </c>
      <c r="B40" s="93">
        <v>7487399</v>
      </c>
      <c r="C40" s="94">
        <v>8</v>
      </c>
      <c r="D40" s="95" t="s">
        <v>122</v>
      </c>
      <c r="E40" s="96" t="s">
        <v>132</v>
      </c>
      <c r="F40" s="97">
        <v>15810709899</v>
      </c>
      <c r="G40" s="105" t="s">
        <v>18</v>
      </c>
      <c r="H40" s="100"/>
      <c r="I40" s="100"/>
      <c r="L40" s="101">
        <v>4939332</v>
      </c>
      <c r="M40" s="102">
        <v>6.318E-2</v>
      </c>
      <c r="N40" s="103">
        <f t="shared" si="0"/>
        <v>312066.99576000002</v>
      </c>
      <c r="O40" s="101">
        <v>1316826</v>
      </c>
      <c r="P40" s="104">
        <v>6.2899999999999998E-2</v>
      </c>
      <c r="Q40" s="104">
        <v>0.1721</v>
      </c>
      <c r="R40" s="97">
        <v>21</v>
      </c>
      <c r="S40" s="101">
        <v>1340937</v>
      </c>
      <c r="T40" s="101">
        <v>1110162</v>
      </c>
      <c r="U40" s="101">
        <v>37</v>
      </c>
      <c r="V40" s="101">
        <v>1383719</v>
      </c>
      <c r="W40" s="104">
        <v>0.92900000000000005</v>
      </c>
      <c r="X40" s="101">
        <v>4588639</v>
      </c>
    </row>
    <row r="41" spans="1:24" ht="14">
      <c r="A41" s="93" t="s">
        <v>206</v>
      </c>
      <c r="B41" s="93">
        <v>17819768</v>
      </c>
      <c r="C41" s="94">
        <v>8</v>
      </c>
      <c r="D41" s="95" t="s">
        <v>125</v>
      </c>
      <c r="E41" s="96" t="s">
        <v>132</v>
      </c>
      <c r="F41" s="97">
        <v>13969741327</v>
      </c>
      <c r="G41" s="105"/>
      <c r="H41" s="100"/>
      <c r="I41" s="100"/>
      <c r="L41" s="101">
        <v>5988787</v>
      </c>
      <c r="M41" s="102">
        <v>7.0755999999999999E-2</v>
      </c>
      <c r="N41" s="103">
        <f t="shared" si="0"/>
        <v>423742.61297199997</v>
      </c>
      <c r="O41" s="101">
        <v>1233091</v>
      </c>
      <c r="P41" s="104">
        <v>0.1017</v>
      </c>
      <c r="Q41" s="104">
        <v>6.2899999999999998E-2</v>
      </c>
      <c r="R41" s="97">
        <v>18</v>
      </c>
      <c r="S41" s="101">
        <v>1594334</v>
      </c>
      <c r="T41" s="101">
        <v>1494050</v>
      </c>
      <c r="U41" s="101">
        <v>37</v>
      </c>
      <c r="V41" s="101">
        <v>1654590</v>
      </c>
      <c r="W41" s="104">
        <v>0.92600000000000005</v>
      </c>
      <c r="X41" s="101">
        <v>5545617</v>
      </c>
    </row>
    <row r="42" spans="1:24" ht="14">
      <c r="A42" s="93" t="s">
        <v>207</v>
      </c>
      <c r="B42" s="93">
        <v>63231</v>
      </c>
      <c r="C42" s="94">
        <v>8</v>
      </c>
      <c r="D42" s="95" t="s">
        <v>122</v>
      </c>
      <c r="E42" s="96" t="s">
        <v>208</v>
      </c>
      <c r="F42" s="97">
        <v>13921437731</v>
      </c>
      <c r="G42" s="105" t="s">
        <v>137</v>
      </c>
      <c r="H42" s="99"/>
      <c r="I42" s="100"/>
      <c r="L42" s="101">
        <v>6475666</v>
      </c>
      <c r="M42" s="102">
        <v>8.7496000000000004E-2</v>
      </c>
      <c r="N42" s="103">
        <f t="shared" si="0"/>
        <v>566594.87233599997</v>
      </c>
      <c r="O42" s="101">
        <v>2465934</v>
      </c>
      <c r="P42" s="104">
        <v>0.1079</v>
      </c>
      <c r="Q42" s="104">
        <v>3.95E-2</v>
      </c>
      <c r="R42" s="97">
        <v>44</v>
      </c>
      <c r="S42" s="101">
        <v>794612</v>
      </c>
      <c r="T42" s="101">
        <v>763225</v>
      </c>
      <c r="U42" s="101">
        <v>89</v>
      </c>
      <c r="V42" s="101">
        <v>787875</v>
      </c>
      <c r="W42" s="104">
        <v>0.91300000000000003</v>
      </c>
      <c r="X42" s="101">
        <v>5912283</v>
      </c>
    </row>
    <row r="43" spans="1:24" ht="14">
      <c r="A43" s="93" t="s">
        <v>209</v>
      </c>
      <c r="B43" s="93">
        <v>604003146</v>
      </c>
      <c r="C43" s="94">
        <v>8</v>
      </c>
      <c r="D43" s="95" t="s">
        <v>125</v>
      </c>
      <c r="E43" s="96" t="s">
        <v>210</v>
      </c>
      <c r="F43" s="97">
        <v>19584461397</v>
      </c>
      <c r="G43" s="105"/>
      <c r="H43" s="100"/>
      <c r="I43" s="100"/>
      <c r="L43" s="101">
        <v>13706718</v>
      </c>
      <c r="M43" s="102">
        <v>2.4410000000000001E-2</v>
      </c>
      <c r="N43" s="103">
        <f t="shared" si="0"/>
        <v>334580.98638000002</v>
      </c>
      <c r="O43" s="101">
        <v>1221269</v>
      </c>
      <c r="P43" s="104">
        <v>3.6999999999999998E-2</v>
      </c>
      <c r="Q43" s="104">
        <v>0.1066</v>
      </c>
      <c r="R43" s="97">
        <v>36</v>
      </c>
      <c r="S43" s="101">
        <v>1445969</v>
      </c>
      <c r="T43" s="101">
        <v>1291829</v>
      </c>
      <c r="U43" s="101">
        <v>72</v>
      </c>
      <c r="V43" s="101">
        <v>1313498</v>
      </c>
      <c r="W43" s="104">
        <v>0.89300000000000002</v>
      </c>
      <c r="X43" s="101">
        <v>12240099</v>
      </c>
    </row>
    <row r="44" spans="1:24" ht="14">
      <c r="A44" s="93" t="s">
        <v>211</v>
      </c>
      <c r="B44" s="93">
        <v>1773346</v>
      </c>
      <c r="C44" s="94">
        <v>8</v>
      </c>
      <c r="D44" s="95" t="s">
        <v>125</v>
      </c>
      <c r="E44" s="96" t="s">
        <v>147</v>
      </c>
      <c r="F44" s="97">
        <v>17502164134</v>
      </c>
      <c r="G44" s="105"/>
      <c r="H44" s="100"/>
      <c r="I44" s="100"/>
      <c r="K44" t="s">
        <v>212</v>
      </c>
      <c r="L44" s="101">
        <v>5565914</v>
      </c>
      <c r="M44" s="102">
        <v>6.1164000000000003E-2</v>
      </c>
      <c r="N44" s="103">
        <f t="shared" si="0"/>
        <v>340433.56389600004</v>
      </c>
      <c r="O44" s="101">
        <v>955111</v>
      </c>
      <c r="P44" s="104">
        <v>1.15E-2</v>
      </c>
      <c r="Q44" s="104">
        <v>1.5900000000000001E-2</v>
      </c>
      <c r="R44" s="97">
        <v>50</v>
      </c>
      <c r="S44" s="101">
        <v>779897</v>
      </c>
      <c r="T44" s="101">
        <v>767497</v>
      </c>
      <c r="U44" s="101">
        <v>95</v>
      </c>
      <c r="V44" s="101">
        <v>772486</v>
      </c>
      <c r="W44" s="104">
        <v>0.88400000000000001</v>
      </c>
      <c r="X44" s="101">
        <v>4920268</v>
      </c>
    </row>
    <row r="45" spans="1:24" ht="14">
      <c r="A45" s="93" t="s">
        <v>213</v>
      </c>
      <c r="B45" s="93">
        <v>627888730</v>
      </c>
      <c r="C45" s="94">
        <v>8</v>
      </c>
      <c r="D45" s="95" t="s">
        <v>122</v>
      </c>
      <c r="E45" s="96" t="s">
        <v>194</v>
      </c>
      <c r="F45" s="97">
        <v>18123935013</v>
      </c>
      <c r="G45" s="105" t="s">
        <v>26</v>
      </c>
      <c r="H45" s="99" t="s">
        <v>214</v>
      </c>
      <c r="I45" s="100"/>
      <c r="J45" t="s">
        <v>215</v>
      </c>
      <c r="L45" s="101">
        <v>5920467</v>
      </c>
      <c r="M45" s="102">
        <v>4.2581000000000001E-2</v>
      </c>
      <c r="N45" s="103">
        <f t="shared" si="0"/>
        <v>252099.40532700001</v>
      </c>
      <c r="O45" s="101">
        <v>1142650</v>
      </c>
      <c r="P45" s="104">
        <v>0.2079</v>
      </c>
      <c r="Q45" s="104">
        <v>0.3226</v>
      </c>
      <c r="R45" s="97">
        <v>15</v>
      </c>
      <c r="S45" s="101">
        <v>2534233</v>
      </c>
      <c r="T45" s="101">
        <v>1716738</v>
      </c>
      <c r="U45" s="101">
        <v>24</v>
      </c>
      <c r="V45" s="101">
        <v>2685707</v>
      </c>
      <c r="W45" s="104">
        <v>0.879</v>
      </c>
      <c r="X45" s="101">
        <v>5204090</v>
      </c>
    </row>
    <row r="46" spans="1:24" ht="14">
      <c r="A46" s="93" t="s">
        <v>216</v>
      </c>
      <c r="B46" s="93">
        <v>431073645</v>
      </c>
      <c r="C46" s="94">
        <v>8</v>
      </c>
      <c r="D46" s="95" t="s">
        <v>125</v>
      </c>
      <c r="E46" s="96" t="s">
        <v>147</v>
      </c>
      <c r="F46" s="97">
        <v>13390211993</v>
      </c>
      <c r="G46" s="105"/>
      <c r="H46" s="100"/>
      <c r="I46" s="100"/>
      <c r="K46" t="s">
        <v>212</v>
      </c>
      <c r="L46" s="101">
        <v>9026608</v>
      </c>
      <c r="M46" s="102">
        <v>0.137182</v>
      </c>
      <c r="N46" s="103">
        <f t="shared" si="0"/>
        <v>1238288.1386559999</v>
      </c>
      <c r="O46" s="101">
        <v>3413863</v>
      </c>
      <c r="P46" s="104">
        <v>2.53E-2</v>
      </c>
      <c r="Q46" s="104">
        <v>2.87E-2</v>
      </c>
      <c r="R46" s="97">
        <v>101</v>
      </c>
      <c r="S46" s="101">
        <v>1568284</v>
      </c>
      <c r="T46" s="101">
        <v>1523218</v>
      </c>
      <c r="U46" s="101">
        <v>194</v>
      </c>
      <c r="V46" s="101">
        <v>1464347</v>
      </c>
      <c r="W46" s="104">
        <v>0.86499999999999999</v>
      </c>
      <c r="X46" s="101">
        <v>7808016</v>
      </c>
    </row>
    <row r="47" spans="1:24" ht="14">
      <c r="A47" s="93" t="s">
        <v>217</v>
      </c>
      <c r="B47" s="93">
        <v>26240675</v>
      </c>
      <c r="C47" s="94">
        <v>8</v>
      </c>
      <c r="D47" s="95" t="s">
        <v>125</v>
      </c>
      <c r="E47" s="96" t="s">
        <v>147</v>
      </c>
      <c r="F47" s="97">
        <v>13336963237</v>
      </c>
      <c r="G47" s="106" t="s">
        <v>137</v>
      </c>
      <c r="H47" s="99" t="s">
        <v>155</v>
      </c>
      <c r="I47" s="100"/>
      <c r="J47" t="s">
        <v>218</v>
      </c>
      <c r="K47" t="s">
        <v>219</v>
      </c>
      <c r="L47" s="101">
        <v>5007895</v>
      </c>
      <c r="M47" s="102">
        <v>0.101233</v>
      </c>
      <c r="N47" s="103">
        <f t="shared" si="0"/>
        <v>506964.234535</v>
      </c>
      <c r="O47" s="101">
        <v>1711699</v>
      </c>
      <c r="P47" s="104">
        <v>0.11459999999999999</v>
      </c>
      <c r="Q47" s="104">
        <v>0.13300000000000001</v>
      </c>
      <c r="R47" s="97">
        <v>31</v>
      </c>
      <c r="S47" s="101">
        <v>1960724</v>
      </c>
      <c r="T47" s="101">
        <v>1699948</v>
      </c>
      <c r="U47" s="101">
        <v>59</v>
      </c>
      <c r="V47" s="101">
        <v>2010992</v>
      </c>
      <c r="W47" s="104">
        <v>0.83599999999999997</v>
      </c>
      <c r="X47" s="101">
        <v>4186600</v>
      </c>
    </row>
    <row r="48" spans="1:24" ht="14">
      <c r="A48" s="93" t="s">
        <v>220</v>
      </c>
      <c r="B48" s="93">
        <v>406636263</v>
      </c>
      <c r="C48" s="94">
        <v>8</v>
      </c>
      <c r="D48" s="95" t="s">
        <v>125</v>
      </c>
      <c r="E48" s="96" t="s">
        <v>221</v>
      </c>
      <c r="F48" s="97">
        <v>13671514609</v>
      </c>
      <c r="G48" s="105"/>
      <c r="H48" s="100"/>
      <c r="I48" s="100"/>
      <c r="L48" s="101">
        <v>5134972</v>
      </c>
      <c r="M48" s="102">
        <v>5.3414999999999997E-2</v>
      </c>
      <c r="N48" s="103">
        <f t="shared" si="0"/>
        <v>274284.52937999996</v>
      </c>
      <c r="O48" s="101">
        <v>1615976</v>
      </c>
      <c r="P48" s="104">
        <v>5.8299999999999998E-2</v>
      </c>
      <c r="Q48" s="104">
        <v>0.82709999999999995</v>
      </c>
      <c r="R48" s="97">
        <v>11</v>
      </c>
      <c r="S48" s="101">
        <v>9949287</v>
      </c>
      <c r="T48" s="101">
        <v>1720232</v>
      </c>
      <c r="U48" s="101">
        <v>19</v>
      </c>
      <c r="V48" s="101">
        <v>9015968</v>
      </c>
      <c r="W48" s="104">
        <v>0.83599999999999997</v>
      </c>
      <c r="X48" s="101">
        <v>4292837</v>
      </c>
    </row>
    <row r="49" spans="1:24" ht="14">
      <c r="A49" s="93" t="s">
        <v>222</v>
      </c>
      <c r="B49" s="93">
        <v>1140672573</v>
      </c>
      <c r="C49" s="94">
        <v>8</v>
      </c>
      <c r="D49" s="95" t="s">
        <v>125</v>
      </c>
      <c r="E49" s="96" t="s">
        <v>130</v>
      </c>
      <c r="F49" s="97">
        <v>16601848776</v>
      </c>
      <c r="G49" s="105"/>
      <c r="H49" s="100"/>
      <c r="I49" s="100"/>
      <c r="L49" s="101">
        <v>4181976</v>
      </c>
      <c r="M49" s="102">
        <v>0.20241300000000001</v>
      </c>
      <c r="N49" s="103">
        <f t="shared" si="0"/>
        <v>846486.30808800005</v>
      </c>
      <c r="O49" s="101">
        <v>1569496</v>
      </c>
      <c r="P49" s="104">
        <v>4.0300000000000002E-2</v>
      </c>
      <c r="Q49" s="104">
        <v>4.3900000000000002E-2</v>
      </c>
      <c r="R49" s="97">
        <v>20</v>
      </c>
      <c r="S49" s="101">
        <v>1836846</v>
      </c>
      <c r="T49" s="101">
        <v>1756283</v>
      </c>
      <c r="U49" s="101">
        <v>36</v>
      </c>
      <c r="V49" s="101">
        <v>1976268</v>
      </c>
      <c r="W49" s="104">
        <v>0.92700000000000005</v>
      </c>
      <c r="X49" s="101">
        <v>3876692</v>
      </c>
    </row>
    <row r="50" spans="1:24" ht="14">
      <c r="A50" s="93" t="s">
        <v>223</v>
      </c>
      <c r="B50" s="93">
        <v>3816626</v>
      </c>
      <c r="C50" s="94">
        <v>8</v>
      </c>
      <c r="D50" s="95" t="s">
        <v>125</v>
      </c>
      <c r="E50" s="96" t="s">
        <v>224</v>
      </c>
      <c r="F50" s="97">
        <v>9014552333</v>
      </c>
      <c r="G50" s="105"/>
      <c r="H50" s="100"/>
      <c r="I50" s="100"/>
      <c r="J50" t="s">
        <v>225</v>
      </c>
      <c r="L50" s="101">
        <v>3673493</v>
      </c>
      <c r="M50" s="102">
        <v>7.2892999999999999E-2</v>
      </c>
      <c r="N50" s="103">
        <f t="shared" si="0"/>
        <v>267771.92524900002</v>
      </c>
      <c r="O50" s="101">
        <v>1104619</v>
      </c>
      <c r="P50" s="104">
        <v>6.7500000000000004E-2</v>
      </c>
      <c r="Q50" s="104">
        <v>0.33329999999999999</v>
      </c>
      <c r="R50" s="97">
        <v>6</v>
      </c>
      <c r="S50" s="101">
        <v>2623588</v>
      </c>
      <c r="T50" s="101">
        <v>1749059</v>
      </c>
      <c r="U50" s="101">
        <v>16</v>
      </c>
      <c r="V50" s="101">
        <v>2235760</v>
      </c>
      <c r="W50" s="104">
        <v>0.92100000000000004</v>
      </c>
      <c r="X50" s="101">
        <v>3383287</v>
      </c>
    </row>
    <row r="51" spans="1:24" ht="14">
      <c r="A51" s="93" t="s">
        <v>226</v>
      </c>
      <c r="B51" s="93">
        <v>125526</v>
      </c>
      <c r="C51" s="94">
        <v>8</v>
      </c>
      <c r="D51" s="95" t="s">
        <v>122</v>
      </c>
      <c r="E51" s="96" t="s">
        <v>147</v>
      </c>
      <c r="F51" s="97">
        <v>15011077353</v>
      </c>
      <c r="G51" s="105" t="s">
        <v>184</v>
      </c>
      <c r="H51" s="100"/>
      <c r="I51" s="100"/>
      <c r="J51" t="s">
        <v>164</v>
      </c>
      <c r="L51" s="101">
        <v>4165860</v>
      </c>
      <c r="M51" s="102">
        <v>8.7859000000000007E-2</v>
      </c>
      <c r="N51" s="103">
        <f t="shared" si="0"/>
        <v>366008.29374000005</v>
      </c>
      <c r="O51" s="101">
        <v>1101453</v>
      </c>
      <c r="P51" s="104">
        <v>0.14269999999999999</v>
      </c>
      <c r="Q51" s="104">
        <v>0.21429999999999999</v>
      </c>
      <c r="R51" s="97">
        <v>14</v>
      </c>
      <c r="S51" s="101">
        <v>2143925</v>
      </c>
      <c r="T51" s="101">
        <v>1684513</v>
      </c>
      <c r="U51" s="101">
        <v>25</v>
      </c>
      <c r="V51" s="101">
        <v>2173583</v>
      </c>
      <c r="W51" s="104">
        <v>0.91800000000000004</v>
      </c>
      <c r="X51" s="101">
        <v>3824259</v>
      </c>
    </row>
    <row r="52" spans="1:24" ht="14">
      <c r="A52" s="93" t="s">
        <v>227</v>
      </c>
      <c r="B52" s="93">
        <v>94281836</v>
      </c>
      <c r="C52" s="94">
        <v>8</v>
      </c>
      <c r="D52" s="95" t="s">
        <v>125</v>
      </c>
      <c r="E52" s="96" t="s">
        <v>132</v>
      </c>
      <c r="F52" s="97">
        <v>18782837183</v>
      </c>
      <c r="G52" s="105"/>
      <c r="H52" s="100"/>
      <c r="I52" s="100"/>
      <c r="L52" s="101">
        <v>3875204</v>
      </c>
      <c r="M52" s="102">
        <v>0.109501</v>
      </c>
      <c r="N52" s="103">
        <f t="shared" si="0"/>
        <v>424338.71320400003</v>
      </c>
      <c r="O52" s="101">
        <v>1126522</v>
      </c>
      <c r="P52" s="104">
        <v>5.7099999999999998E-2</v>
      </c>
      <c r="Q52" s="104">
        <v>2.6700000000000002E-2</v>
      </c>
      <c r="R52" s="97">
        <v>41</v>
      </c>
      <c r="S52" s="101">
        <v>943136</v>
      </c>
      <c r="T52" s="101">
        <v>917986</v>
      </c>
      <c r="U52" s="101">
        <v>71</v>
      </c>
      <c r="V52" s="101">
        <v>1190980</v>
      </c>
      <c r="W52" s="104">
        <v>0.91300000000000003</v>
      </c>
      <c r="X52" s="101">
        <v>3538061</v>
      </c>
    </row>
    <row r="53" spans="1:24" ht="14">
      <c r="A53" s="93" t="s">
        <v>228</v>
      </c>
      <c r="B53" s="93">
        <v>39737405</v>
      </c>
      <c r="C53" s="94">
        <v>8</v>
      </c>
      <c r="D53" s="95" t="s">
        <v>122</v>
      </c>
      <c r="E53" s="96" t="s">
        <v>130</v>
      </c>
      <c r="F53" s="97">
        <v>13241295543</v>
      </c>
      <c r="G53" s="105" t="s">
        <v>22</v>
      </c>
      <c r="H53" s="100"/>
      <c r="I53" s="100"/>
      <c r="L53" s="101">
        <v>9338169</v>
      </c>
      <c r="M53" s="102">
        <v>1.6660999999999999E-2</v>
      </c>
      <c r="N53" s="103">
        <f t="shared" si="0"/>
        <v>155583.23370899999</v>
      </c>
      <c r="O53" s="101">
        <v>643400</v>
      </c>
      <c r="P53" s="104">
        <v>4.8300000000000003E-2</v>
      </c>
      <c r="Q53" s="104">
        <v>3.8399999999999997E-2</v>
      </c>
      <c r="R53" s="97">
        <v>10</v>
      </c>
      <c r="S53" s="101">
        <v>2148860</v>
      </c>
      <c r="T53" s="101">
        <v>2066344</v>
      </c>
      <c r="U53" s="101">
        <v>16</v>
      </c>
      <c r="V53" s="101">
        <v>2607126</v>
      </c>
      <c r="W53" s="104">
        <v>0.84299999999999997</v>
      </c>
      <c r="X53" s="101">
        <v>7872076</v>
      </c>
    </row>
    <row r="54" spans="1:24" ht="14">
      <c r="A54" s="93" t="s">
        <v>229</v>
      </c>
      <c r="B54" s="93">
        <v>27717433</v>
      </c>
      <c r="C54" s="94">
        <v>8</v>
      </c>
      <c r="D54" s="95" t="s">
        <v>125</v>
      </c>
      <c r="E54" s="96" t="s">
        <v>147</v>
      </c>
      <c r="F54" s="97">
        <v>18608292368</v>
      </c>
      <c r="G54" s="106" t="s">
        <v>137</v>
      </c>
      <c r="H54" s="99" t="s">
        <v>155</v>
      </c>
      <c r="I54" s="100"/>
      <c r="J54" t="s">
        <v>230</v>
      </c>
      <c r="K54" t="s">
        <v>231</v>
      </c>
      <c r="L54" s="101">
        <v>3273474</v>
      </c>
      <c r="M54" s="102">
        <v>0.112452</v>
      </c>
      <c r="N54" s="103">
        <f t="shared" si="0"/>
        <v>368108.698248</v>
      </c>
      <c r="O54" s="101">
        <v>1139824</v>
      </c>
      <c r="P54" s="104">
        <v>3.6600000000000001E-2</v>
      </c>
      <c r="Q54" s="104">
        <v>0.36840000000000001</v>
      </c>
      <c r="R54" s="97">
        <v>25</v>
      </c>
      <c r="S54" s="101">
        <v>2601854</v>
      </c>
      <c r="T54" s="101">
        <v>1643276</v>
      </c>
      <c r="U54" s="101">
        <v>57</v>
      </c>
      <c r="V54" s="101">
        <v>1958973</v>
      </c>
      <c r="W54" s="104">
        <v>0.78700000000000003</v>
      </c>
      <c r="X54" s="101">
        <v>2576224</v>
      </c>
    </row>
    <row r="55" spans="1:24" ht="14">
      <c r="A55" s="93" t="s">
        <v>41</v>
      </c>
      <c r="B55" s="93">
        <v>7349</v>
      </c>
      <c r="C55" s="94">
        <v>7</v>
      </c>
      <c r="D55" s="95" t="s">
        <v>122</v>
      </c>
      <c r="E55" s="96" t="s">
        <v>147</v>
      </c>
      <c r="F55" s="97">
        <v>17621502103</v>
      </c>
      <c r="G55" s="105" t="s">
        <v>20</v>
      </c>
      <c r="H55" s="99"/>
      <c r="I55" s="100"/>
      <c r="L55" s="101">
        <v>2491041</v>
      </c>
      <c r="M55" s="102">
        <v>0.23660700000000001</v>
      </c>
      <c r="N55" s="103">
        <f t="shared" si="0"/>
        <v>589397.73788700008</v>
      </c>
      <c r="O55" s="101">
        <v>1005135</v>
      </c>
      <c r="P55" s="104">
        <v>9.6000000000000002E-2</v>
      </c>
      <c r="Q55" s="104">
        <v>2.8500000000000001E-2</v>
      </c>
      <c r="R55" s="97">
        <v>26</v>
      </c>
      <c r="S55" s="101">
        <v>1106550</v>
      </c>
      <c r="T55" s="101">
        <v>1075034</v>
      </c>
      <c r="U55" s="101">
        <v>45</v>
      </c>
      <c r="V55" s="101">
        <v>1090199</v>
      </c>
      <c r="W55" s="104">
        <v>0.95199999999999996</v>
      </c>
      <c r="X55" s="101">
        <v>2371471</v>
      </c>
    </row>
    <row r="56" spans="1:24" ht="14">
      <c r="A56" s="93" t="s">
        <v>232</v>
      </c>
      <c r="B56" s="93">
        <v>452412746</v>
      </c>
      <c r="C56" s="94">
        <v>7</v>
      </c>
      <c r="D56" s="95" t="s">
        <v>125</v>
      </c>
      <c r="E56" s="96" t="s">
        <v>233</v>
      </c>
      <c r="F56" s="97">
        <v>646204188</v>
      </c>
      <c r="G56" s="105"/>
      <c r="H56" s="100"/>
      <c r="I56" s="100"/>
      <c r="L56" s="101">
        <v>2285235</v>
      </c>
      <c r="M56" s="102">
        <v>0.112183</v>
      </c>
      <c r="N56" s="103">
        <f t="shared" si="0"/>
        <v>256364.51800500002</v>
      </c>
      <c r="O56" s="101">
        <v>1130277</v>
      </c>
      <c r="P56" s="104">
        <v>1.89E-2</v>
      </c>
      <c r="Q56" s="104">
        <v>0.33389999999999997</v>
      </c>
      <c r="R56" s="97">
        <v>7</v>
      </c>
      <c r="S56" s="101">
        <v>1958973</v>
      </c>
      <c r="T56" s="101">
        <v>1304872</v>
      </c>
      <c r="U56" s="101">
        <v>15</v>
      </c>
      <c r="V56" s="101">
        <v>1953545</v>
      </c>
      <c r="W56" s="104">
        <v>0.91100000000000003</v>
      </c>
      <c r="X56" s="101">
        <v>2081849</v>
      </c>
    </row>
    <row r="57" spans="1:24" ht="14">
      <c r="A57" s="93" t="s">
        <v>234</v>
      </c>
      <c r="B57" s="93">
        <v>680447</v>
      </c>
      <c r="C57" s="94">
        <v>7</v>
      </c>
      <c r="D57" s="95" t="s">
        <v>125</v>
      </c>
      <c r="E57" s="96" t="s">
        <v>147</v>
      </c>
      <c r="F57" s="97">
        <v>15821272142</v>
      </c>
      <c r="G57" s="105"/>
      <c r="H57" s="100"/>
      <c r="I57" s="100"/>
      <c r="L57" s="101">
        <v>2517088</v>
      </c>
      <c r="M57" s="102">
        <v>0.16911000000000001</v>
      </c>
      <c r="N57" s="103">
        <f t="shared" si="0"/>
        <v>425664.75168000004</v>
      </c>
      <c r="O57" s="101">
        <v>1011366</v>
      </c>
      <c r="P57" s="104">
        <v>2.2100000000000002E-2</v>
      </c>
      <c r="Q57" s="104">
        <v>0.38279999999999997</v>
      </c>
      <c r="R57" s="97">
        <v>26</v>
      </c>
      <c r="S57" s="101">
        <v>1696433</v>
      </c>
      <c r="T57" s="101">
        <v>1047017</v>
      </c>
      <c r="U57" s="101">
        <v>50</v>
      </c>
      <c r="V57" s="101">
        <v>1509873</v>
      </c>
      <c r="W57" s="104">
        <v>0.80500000000000005</v>
      </c>
      <c r="X57" s="101">
        <v>2026256</v>
      </c>
    </row>
    <row r="58" spans="1:24" ht="14">
      <c r="A58" s="93" t="s">
        <v>235</v>
      </c>
      <c r="B58" s="93">
        <v>419872064</v>
      </c>
      <c r="C58" s="94">
        <v>7</v>
      </c>
      <c r="D58" s="95" t="s">
        <v>122</v>
      </c>
      <c r="E58" s="96" t="s">
        <v>143</v>
      </c>
      <c r="F58" s="97">
        <v>13911155977</v>
      </c>
      <c r="G58" s="105" t="s">
        <v>20</v>
      </c>
      <c r="H58" s="99"/>
      <c r="I58" s="100"/>
      <c r="L58" s="101">
        <v>5220639</v>
      </c>
      <c r="M58" s="102">
        <v>5.0379E-2</v>
      </c>
      <c r="N58" s="103">
        <f t="shared" si="0"/>
        <v>263010.57218100003</v>
      </c>
      <c r="O58" s="101">
        <v>1077540</v>
      </c>
      <c r="P58" s="104">
        <v>0.1038</v>
      </c>
      <c r="Q58" s="104">
        <v>0.1157</v>
      </c>
      <c r="R58" s="97">
        <v>48</v>
      </c>
      <c r="S58" s="101">
        <v>673077</v>
      </c>
      <c r="T58" s="101">
        <v>595202</v>
      </c>
      <c r="U58" s="101">
        <v>89</v>
      </c>
      <c r="V58" s="101">
        <v>658290</v>
      </c>
      <c r="W58" s="104">
        <v>0.92500000000000004</v>
      </c>
      <c r="X58" s="101">
        <v>4829091</v>
      </c>
    </row>
    <row r="59" spans="1:24" ht="14">
      <c r="A59" s="93" t="s">
        <v>236</v>
      </c>
      <c r="B59" s="93">
        <v>168598</v>
      </c>
      <c r="C59" s="94">
        <v>7</v>
      </c>
      <c r="D59" s="95" t="s">
        <v>122</v>
      </c>
      <c r="E59" s="96" t="s">
        <v>147</v>
      </c>
      <c r="F59" s="97">
        <v>13512233665</v>
      </c>
      <c r="G59" s="106" t="s">
        <v>20</v>
      </c>
      <c r="H59" s="99" t="s">
        <v>155</v>
      </c>
      <c r="I59" s="100"/>
      <c r="J59" s="107" t="s">
        <v>1621</v>
      </c>
      <c r="L59" s="101">
        <v>7344558</v>
      </c>
      <c r="M59" s="102">
        <v>9.3788999999999997E-2</v>
      </c>
      <c r="N59" s="103">
        <f t="shared" si="0"/>
        <v>688838.75026200002</v>
      </c>
      <c r="O59" s="101">
        <v>2298847</v>
      </c>
      <c r="P59" s="104">
        <v>0.16969999999999999</v>
      </c>
      <c r="Q59" s="104">
        <v>6.6699999999999995E-2</v>
      </c>
      <c r="R59" s="97">
        <v>154</v>
      </c>
      <c r="S59" s="101">
        <v>565923</v>
      </c>
      <c r="T59" s="101">
        <v>528195</v>
      </c>
      <c r="U59" s="101">
        <v>249</v>
      </c>
      <c r="V59" s="101">
        <v>504481</v>
      </c>
      <c r="W59" s="104">
        <v>0.90800000000000003</v>
      </c>
      <c r="X59" s="101">
        <v>6668859</v>
      </c>
    </row>
    <row r="60" spans="1:24" ht="14">
      <c r="A60" s="93" t="s">
        <v>237</v>
      </c>
      <c r="B60" s="93">
        <v>686127</v>
      </c>
      <c r="C60" s="94">
        <v>7</v>
      </c>
      <c r="D60" s="95" t="s">
        <v>122</v>
      </c>
      <c r="E60" s="96" t="s">
        <v>147</v>
      </c>
      <c r="F60" s="97">
        <v>13501725170</v>
      </c>
      <c r="G60" s="105" t="s">
        <v>137</v>
      </c>
      <c r="H60" s="100"/>
      <c r="I60" s="100"/>
      <c r="L60" s="101">
        <v>5032263</v>
      </c>
      <c r="M60" s="102">
        <v>0.105132</v>
      </c>
      <c r="N60" s="103">
        <f t="shared" si="0"/>
        <v>529051.873716</v>
      </c>
      <c r="O60" s="101">
        <v>1707950</v>
      </c>
      <c r="P60" s="104">
        <v>0.05</v>
      </c>
      <c r="Q60" s="104">
        <v>6.6299999999999998E-2</v>
      </c>
      <c r="R60" s="97">
        <v>104</v>
      </c>
      <c r="S60" s="101">
        <v>485413</v>
      </c>
      <c r="T60" s="101">
        <v>453230</v>
      </c>
      <c r="U60" s="101">
        <v>205</v>
      </c>
      <c r="V60" s="101">
        <v>465519</v>
      </c>
      <c r="W60" s="104">
        <v>0.86</v>
      </c>
      <c r="X60" s="101">
        <v>4327746</v>
      </c>
    </row>
    <row r="61" spans="1:24" ht="14">
      <c r="A61" s="93" t="s">
        <v>238</v>
      </c>
      <c r="B61" s="93">
        <v>1958342</v>
      </c>
      <c r="C61" s="94">
        <v>7</v>
      </c>
      <c r="D61" s="95" t="s">
        <v>125</v>
      </c>
      <c r="E61" s="96" t="s">
        <v>147</v>
      </c>
      <c r="F61" s="97">
        <v>18696105102</v>
      </c>
      <c r="G61" s="105"/>
      <c r="H61" s="100"/>
      <c r="I61" s="100"/>
      <c r="L61" s="101">
        <v>2629008</v>
      </c>
      <c r="M61" s="102">
        <v>5.6464E-2</v>
      </c>
      <c r="N61" s="103">
        <f t="shared" si="0"/>
        <v>148444.30771200001</v>
      </c>
      <c r="O61" s="101">
        <v>802636</v>
      </c>
      <c r="P61" s="104">
        <v>2.5499999999999998E-2</v>
      </c>
      <c r="Q61" s="104">
        <v>3.8800000000000001E-2</v>
      </c>
      <c r="R61" s="97">
        <v>2</v>
      </c>
      <c r="S61" s="101">
        <v>5920839</v>
      </c>
      <c r="T61" s="101">
        <v>5691110</v>
      </c>
      <c r="U61" s="101">
        <v>5</v>
      </c>
      <c r="V61" s="101">
        <v>5719252</v>
      </c>
      <c r="W61" s="104">
        <v>0.92700000000000005</v>
      </c>
      <c r="X61" s="101">
        <v>2437090</v>
      </c>
    </row>
    <row r="62" spans="1:24" ht="14">
      <c r="A62" s="93" t="s">
        <v>239</v>
      </c>
      <c r="B62" s="93">
        <v>533459953</v>
      </c>
      <c r="C62" s="94">
        <v>7</v>
      </c>
      <c r="D62" s="95" t="s">
        <v>125</v>
      </c>
      <c r="E62" s="96" t="s">
        <v>233</v>
      </c>
      <c r="F62" s="97">
        <v>15684052505</v>
      </c>
      <c r="G62" s="105"/>
      <c r="H62" s="100"/>
      <c r="I62" s="100"/>
      <c r="L62" s="101">
        <v>4494217</v>
      </c>
      <c r="M62" s="102">
        <v>9.4210000000000006E-3</v>
      </c>
      <c r="N62" s="103">
        <f t="shared" si="0"/>
        <v>42340.018357000001</v>
      </c>
      <c r="O62" s="101">
        <v>784690</v>
      </c>
      <c r="P62" s="104">
        <v>0.42070000000000002</v>
      </c>
      <c r="Q62" s="104">
        <v>4.1999999999999997E-3</v>
      </c>
      <c r="R62" s="97">
        <v>5</v>
      </c>
      <c r="S62" s="101">
        <v>2005444</v>
      </c>
      <c r="T62" s="101">
        <v>1997021</v>
      </c>
      <c r="U62" s="101">
        <v>10</v>
      </c>
      <c r="V62" s="101">
        <v>1908259</v>
      </c>
      <c r="W62" s="104">
        <v>0.90800000000000003</v>
      </c>
      <c r="X62" s="101">
        <v>4080749</v>
      </c>
    </row>
    <row r="63" spans="1:24" ht="14">
      <c r="A63" s="93" t="s">
        <v>240</v>
      </c>
      <c r="B63" s="93">
        <v>416128940</v>
      </c>
      <c r="C63" s="94">
        <v>7</v>
      </c>
      <c r="D63" s="95" t="s">
        <v>125</v>
      </c>
      <c r="E63" s="96" t="s">
        <v>154</v>
      </c>
      <c r="F63" s="97">
        <v>15815508256</v>
      </c>
      <c r="G63" s="106" t="s">
        <v>137</v>
      </c>
      <c r="H63" s="99" t="s">
        <v>155</v>
      </c>
      <c r="I63" s="100"/>
      <c r="J63" t="s">
        <v>241</v>
      </c>
      <c r="K63" t="s">
        <v>242</v>
      </c>
      <c r="L63" s="101">
        <v>2829090</v>
      </c>
      <c r="M63" s="102">
        <v>6.0186000000000003E-2</v>
      </c>
      <c r="N63" s="103">
        <f t="shared" si="0"/>
        <v>170271.61074</v>
      </c>
      <c r="O63" s="101">
        <v>728208</v>
      </c>
      <c r="P63" s="104">
        <v>3.5999999999999997E-2</v>
      </c>
      <c r="Q63" s="104">
        <v>0.3241</v>
      </c>
      <c r="R63" s="97">
        <v>6</v>
      </c>
      <c r="S63" s="101">
        <v>3206313</v>
      </c>
      <c r="T63" s="101">
        <v>2167230</v>
      </c>
      <c r="U63" s="101">
        <v>9</v>
      </c>
      <c r="V63" s="101">
        <v>3251111</v>
      </c>
      <c r="W63" s="104">
        <v>0.88800000000000001</v>
      </c>
      <c r="X63" s="101">
        <v>2512232</v>
      </c>
    </row>
    <row r="64" spans="1:24" ht="14">
      <c r="A64" s="93" t="s">
        <v>243</v>
      </c>
      <c r="B64" s="93">
        <v>1241806378</v>
      </c>
      <c r="C64" s="94">
        <v>7</v>
      </c>
      <c r="D64" s="95" t="s">
        <v>125</v>
      </c>
      <c r="E64" s="96" t="s">
        <v>194</v>
      </c>
      <c r="F64" s="97">
        <v>13041840903</v>
      </c>
      <c r="G64" s="105" t="s">
        <v>184</v>
      </c>
      <c r="H64" s="100"/>
      <c r="I64" s="100"/>
      <c r="L64" s="101">
        <v>3451543</v>
      </c>
      <c r="M64" s="102">
        <v>1.4456999999999999E-2</v>
      </c>
      <c r="N64" s="103">
        <f t="shared" si="0"/>
        <v>49898.957150999995</v>
      </c>
      <c r="O64" s="101">
        <v>473207</v>
      </c>
      <c r="P64" s="104">
        <v>0.15820000000000001</v>
      </c>
      <c r="Q64" s="104">
        <v>0.184</v>
      </c>
      <c r="R64" s="97">
        <v>3</v>
      </c>
      <c r="S64" s="101">
        <v>3727779</v>
      </c>
      <c r="T64" s="101">
        <v>3041868</v>
      </c>
      <c r="U64" s="101">
        <v>8</v>
      </c>
      <c r="V64" s="101">
        <v>2891980</v>
      </c>
      <c r="W64" s="104">
        <v>0.88300000000000001</v>
      </c>
      <c r="X64" s="101">
        <v>3047712</v>
      </c>
    </row>
    <row r="65" spans="1:24" ht="14">
      <c r="A65" s="93" t="s">
        <v>244</v>
      </c>
      <c r="B65" s="93">
        <v>59905809</v>
      </c>
      <c r="C65" s="94">
        <v>7</v>
      </c>
      <c r="D65" s="95" t="s">
        <v>125</v>
      </c>
      <c r="E65" s="96" t="s">
        <v>245</v>
      </c>
      <c r="F65" s="97">
        <v>18983669561</v>
      </c>
      <c r="G65" s="105"/>
      <c r="H65" s="100"/>
      <c r="I65" s="100"/>
      <c r="L65" s="101">
        <v>4079599</v>
      </c>
      <c r="M65" s="102">
        <v>2.0962999999999999E-2</v>
      </c>
      <c r="N65" s="103">
        <f t="shared" si="0"/>
        <v>85520.633837000001</v>
      </c>
      <c r="O65" s="101">
        <v>839989</v>
      </c>
      <c r="P65" s="104">
        <v>0.15570000000000001</v>
      </c>
      <c r="Q65" s="104">
        <v>1.1900000000000001E-2</v>
      </c>
      <c r="R65" s="97">
        <v>15</v>
      </c>
      <c r="S65" s="101">
        <v>2057062</v>
      </c>
      <c r="T65" s="101">
        <v>2032573</v>
      </c>
      <c r="U65" s="101">
        <v>27</v>
      </c>
      <c r="V65" s="101">
        <v>2788740</v>
      </c>
      <c r="W65" s="104">
        <v>0.86399999999999999</v>
      </c>
      <c r="X65" s="101">
        <v>3524774</v>
      </c>
    </row>
    <row r="66" spans="1:24" ht="14">
      <c r="A66" s="93" t="s">
        <v>246</v>
      </c>
      <c r="B66" s="93">
        <v>18343098</v>
      </c>
      <c r="C66" s="94">
        <v>7</v>
      </c>
      <c r="D66" s="95" t="s">
        <v>125</v>
      </c>
      <c r="E66" s="96" t="s">
        <v>154</v>
      </c>
      <c r="F66" s="97">
        <v>15025388378</v>
      </c>
      <c r="G66" s="105"/>
      <c r="H66" s="100"/>
      <c r="I66" s="100"/>
      <c r="J66" t="s">
        <v>247</v>
      </c>
      <c r="L66" s="101">
        <v>3212938</v>
      </c>
      <c r="M66" s="102">
        <v>3.8809999999999999E-3</v>
      </c>
      <c r="N66" s="103">
        <f t="shared" ref="N66:N129" si="1">L66*M66</f>
        <v>12469.412377999999</v>
      </c>
      <c r="O66" s="101">
        <v>253501</v>
      </c>
      <c r="P66" s="104">
        <v>0.19950000000000001</v>
      </c>
      <c r="Q66" s="104">
        <v>0.23699999999999999</v>
      </c>
      <c r="R66" s="97">
        <v>3</v>
      </c>
      <c r="S66" s="101">
        <v>2379301</v>
      </c>
      <c r="T66" s="101">
        <v>1815407</v>
      </c>
      <c r="U66" s="101">
        <v>5</v>
      </c>
      <c r="V66" s="101">
        <v>2555961</v>
      </c>
      <c r="W66" s="104">
        <v>0.89100000000000001</v>
      </c>
      <c r="X66" s="101">
        <v>2862728</v>
      </c>
    </row>
    <row r="67" spans="1:24" ht="14">
      <c r="A67" s="93" t="s">
        <v>248</v>
      </c>
      <c r="B67" s="93">
        <v>330415548</v>
      </c>
      <c r="C67" s="94">
        <v>7</v>
      </c>
      <c r="D67" s="95" t="s">
        <v>125</v>
      </c>
      <c r="E67" s="96" t="s">
        <v>249</v>
      </c>
      <c r="F67" s="97">
        <v>18982192127</v>
      </c>
      <c r="G67" s="105"/>
      <c r="H67" s="100"/>
      <c r="I67" s="100"/>
      <c r="L67" s="101">
        <v>5248142</v>
      </c>
      <c r="M67" s="102">
        <v>4.2249999999999996E-3</v>
      </c>
      <c r="N67" s="103">
        <f t="shared" si="1"/>
        <v>22173.399949999999</v>
      </c>
      <c r="O67" s="101">
        <v>365795</v>
      </c>
      <c r="P67" s="104">
        <v>0.22470000000000001</v>
      </c>
      <c r="Q67" s="104">
        <v>7.4700000000000003E-2</v>
      </c>
      <c r="R67" s="97">
        <v>4</v>
      </c>
      <c r="S67" s="101">
        <v>2162173</v>
      </c>
      <c r="T67" s="101">
        <v>2000659</v>
      </c>
      <c r="U67" s="101">
        <v>9</v>
      </c>
      <c r="V67" s="101">
        <v>2326061</v>
      </c>
      <c r="W67" s="104">
        <v>0.88700000000000001</v>
      </c>
      <c r="X67" s="101">
        <v>4655102</v>
      </c>
    </row>
    <row r="68" spans="1:24" ht="14">
      <c r="A68" s="93" t="s">
        <v>250</v>
      </c>
      <c r="B68" s="93">
        <v>383578614</v>
      </c>
      <c r="C68" s="94">
        <v>7</v>
      </c>
      <c r="D68" s="95" t="s">
        <v>125</v>
      </c>
      <c r="E68" s="96" t="s">
        <v>233</v>
      </c>
      <c r="F68" s="97">
        <v>17621701319</v>
      </c>
      <c r="G68" s="105"/>
      <c r="H68" s="100"/>
      <c r="I68" s="100"/>
      <c r="L68" s="101">
        <v>2096309</v>
      </c>
      <c r="M68" s="102">
        <v>7.0513000000000006E-2</v>
      </c>
      <c r="N68" s="103">
        <f t="shared" si="1"/>
        <v>147817.036517</v>
      </c>
      <c r="O68" s="101">
        <v>522191</v>
      </c>
      <c r="P68" s="104">
        <v>8.3000000000000004E-2</v>
      </c>
      <c r="Q68" s="104">
        <v>7.7799999999999994E-2</v>
      </c>
      <c r="R68" s="97">
        <v>6</v>
      </c>
      <c r="S68" s="101">
        <v>2588343</v>
      </c>
      <c r="T68" s="101">
        <v>2386970</v>
      </c>
      <c r="U68" s="101">
        <v>14</v>
      </c>
      <c r="V68" s="101">
        <v>2097253</v>
      </c>
      <c r="W68" s="104">
        <v>0.93300000000000005</v>
      </c>
      <c r="X68" s="101">
        <v>1955856</v>
      </c>
    </row>
    <row r="69" spans="1:24" ht="14">
      <c r="A69" s="93" t="s">
        <v>251</v>
      </c>
      <c r="B69" s="93">
        <v>1724598</v>
      </c>
      <c r="C69" s="94">
        <v>7</v>
      </c>
      <c r="D69" s="95" t="s">
        <v>125</v>
      </c>
      <c r="E69" s="96" t="s">
        <v>147</v>
      </c>
      <c r="F69" s="97">
        <v>15002815144</v>
      </c>
      <c r="G69" s="105"/>
      <c r="H69" s="100"/>
      <c r="I69" s="100"/>
      <c r="L69" s="101">
        <v>2441721</v>
      </c>
      <c r="M69" s="102">
        <v>8.3845000000000003E-2</v>
      </c>
      <c r="N69" s="103">
        <f t="shared" si="1"/>
        <v>204726.09724500001</v>
      </c>
      <c r="O69" s="101">
        <v>509587</v>
      </c>
      <c r="P69" s="104">
        <v>1.2E-2</v>
      </c>
      <c r="Q69" s="104">
        <v>3.0700000000000002E-2</v>
      </c>
      <c r="R69" s="97">
        <v>4</v>
      </c>
      <c r="S69" s="101">
        <v>2263667</v>
      </c>
      <c r="T69" s="101">
        <v>2194172</v>
      </c>
      <c r="U69" s="101">
        <v>9</v>
      </c>
      <c r="V69" s="101">
        <v>1937933</v>
      </c>
      <c r="W69" s="104">
        <v>0.93100000000000005</v>
      </c>
      <c r="X69" s="101">
        <v>2273242</v>
      </c>
    </row>
    <row r="70" spans="1:24" ht="14">
      <c r="A70" s="93" t="s">
        <v>252</v>
      </c>
      <c r="B70" s="93">
        <v>261485584</v>
      </c>
      <c r="C70" s="94">
        <v>7</v>
      </c>
      <c r="D70" s="95" t="s">
        <v>125</v>
      </c>
      <c r="E70" s="96" t="s">
        <v>253</v>
      </c>
      <c r="F70" s="97">
        <v>18600047827</v>
      </c>
      <c r="G70" s="105"/>
      <c r="H70" s="100"/>
      <c r="I70" s="100"/>
      <c r="J70" t="s">
        <v>254</v>
      </c>
      <c r="K70" t="s">
        <v>255</v>
      </c>
      <c r="L70" s="101">
        <v>2394923</v>
      </c>
      <c r="M70" s="102">
        <v>6.9172999999999998E-2</v>
      </c>
      <c r="N70" s="103">
        <f t="shared" si="1"/>
        <v>165664.00867899999</v>
      </c>
      <c r="O70" s="101">
        <v>529996</v>
      </c>
      <c r="P70" s="104">
        <v>8.8300000000000003E-2</v>
      </c>
      <c r="Q70" s="104">
        <v>0.1099</v>
      </c>
      <c r="R70" s="97">
        <v>11</v>
      </c>
      <c r="S70" s="101">
        <v>2493166</v>
      </c>
      <c r="T70" s="101">
        <v>2219167</v>
      </c>
      <c r="U70" s="101">
        <v>22</v>
      </c>
      <c r="V70" s="101">
        <v>1905552</v>
      </c>
      <c r="W70" s="104">
        <v>0.92800000000000005</v>
      </c>
      <c r="X70" s="101">
        <v>2222489</v>
      </c>
    </row>
    <row r="71" spans="1:24" ht="14">
      <c r="A71" s="93" t="s">
        <v>256</v>
      </c>
      <c r="B71" s="93">
        <v>14048220</v>
      </c>
      <c r="C71" s="94">
        <v>7</v>
      </c>
      <c r="D71" s="95" t="s">
        <v>122</v>
      </c>
      <c r="E71" s="96" t="s">
        <v>194</v>
      </c>
      <c r="F71" s="97">
        <v>18994097135</v>
      </c>
      <c r="G71" s="105" t="s">
        <v>26</v>
      </c>
      <c r="H71" s="99" t="s">
        <v>155</v>
      </c>
      <c r="I71" s="100" t="s">
        <v>257</v>
      </c>
      <c r="J71" t="s">
        <v>258</v>
      </c>
      <c r="L71" s="101">
        <v>2329877</v>
      </c>
      <c r="M71" s="102">
        <v>0.102643</v>
      </c>
      <c r="N71" s="103">
        <f t="shared" si="1"/>
        <v>239145.56491099999</v>
      </c>
      <c r="O71" s="101">
        <v>456889</v>
      </c>
      <c r="P71" s="104">
        <v>0.1963</v>
      </c>
      <c r="Q71" s="104">
        <v>0.26889999999999997</v>
      </c>
      <c r="R71" s="97">
        <v>6</v>
      </c>
      <c r="S71" s="101">
        <v>3766557</v>
      </c>
      <c r="T71" s="101">
        <v>2753730</v>
      </c>
      <c r="U71" s="101">
        <v>12</v>
      </c>
      <c r="V71" s="101">
        <v>3130047</v>
      </c>
      <c r="W71" s="104">
        <v>0.89200000000000002</v>
      </c>
      <c r="X71" s="101">
        <v>2078250</v>
      </c>
    </row>
    <row r="72" spans="1:24" ht="14">
      <c r="A72" s="93" t="s">
        <v>259</v>
      </c>
      <c r="B72" s="93">
        <v>8739477</v>
      </c>
      <c r="C72" s="94">
        <v>7</v>
      </c>
      <c r="D72" s="95" t="s">
        <v>125</v>
      </c>
      <c r="E72" s="96" t="s">
        <v>147</v>
      </c>
      <c r="F72" s="97">
        <v>18817477760</v>
      </c>
      <c r="G72" s="105"/>
      <c r="H72" s="100"/>
      <c r="I72" s="100"/>
      <c r="L72" s="101">
        <v>2681993</v>
      </c>
      <c r="M72" s="102">
        <v>0.117284</v>
      </c>
      <c r="N72" s="103">
        <f t="shared" si="1"/>
        <v>314554.867012</v>
      </c>
      <c r="O72" s="101">
        <v>1168813</v>
      </c>
      <c r="P72" s="104">
        <v>9.7999999999999997E-3</v>
      </c>
      <c r="Q72" s="104">
        <v>5.4000000000000003E-3</v>
      </c>
      <c r="R72" s="97">
        <v>392</v>
      </c>
      <c r="S72" s="101">
        <v>73112</v>
      </c>
      <c r="T72" s="101">
        <v>72717</v>
      </c>
      <c r="U72" s="101">
        <v>878</v>
      </c>
      <c r="V72" s="101">
        <v>57766</v>
      </c>
      <c r="W72" s="104">
        <v>0.93300000000000005</v>
      </c>
      <c r="X72" s="101">
        <v>2502299</v>
      </c>
    </row>
    <row r="73" spans="1:24" ht="14">
      <c r="A73" s="93" t="s">
        <v>260</v>
      </c>
      <c r="B73" s="93">
        <v>2142762</v>
      </c>
      <c r="C73" s="94">
        <v>7</v>
      </c>
      <c r="D73" s="95" t="s">
        <v>125</v>
      </c>
      <c r="E73" s="96" t="s">
        <v>147</v>
      </c>
      <c r="F73" s="97">
        <v>18621110331</v>
      </c>
      <c r="G73" s="105"/>
      <c r="H73" s="100"/>
      <c r="I73" s="100"/>
      <c r="L73" s="101">
        <v>3863695</v>
      </c>
      <c r="M73" s="102">
        <v>7.4397000000000005E-2</v>
      </c>
      <c r="N73" s="103">
        <f t="shared" si="1"/>
        <v>287447.31691500003</v>
      </c>
      <c r="O73" s="101">
        <v>957037</v>
      </c>
      <c r="P73" s="104">
        <v>2.87E-2</v>
      </c>
      <c r="Q73" s="104">
        <v>4.9000000000000002E-2</v>
      </c>
      <c r="R73" s="97">
        <v>112</v>
      </c>
      <c r="S73" s="101">
        <v>279876</v>
      </c>
      <c r="T73" s="101">
        <v>266162</v>
      </c>
      <c r="U73" s="101">
        <v>188</v>
      </c>
      <c r="V73" s="101">
        <v>295902</v>
      </c>
      <c r="W73" s="104">
        <v>0.92900000000000005</v>
      </c>
      <c r="X73" s="101">
        <v>3589373</v>
      </c>
    </row>
    <row r="74" spans="1:24" ht="14">
      <c r="A74" s="93" t="s">
        <v>261</v>
      </c>
      <c r="B74" s="93">
        <v>13164144</v>
      </c>
      <c r="C74" s="94">
        <v>7</v>
      </c>
      <c r="D74" s="95" t="s">
        <v>125</v>
      </c>
      <c r="E74" s="96" t="s">
        <v>147</v>
      </c>
      <c r="F74" s="97">
        <v>13390502536</v>
      </c>
      <c r="G74" s="105"/>
      <c r="H74" s="100"/>
      <c r="I74" s="100"/>
      <c r="L74" s="101">
        <v>3128976</v>
      </c>
      <c r="M74" s="102">
        <v>8.3655999999999994E-2</v>
      </c>
      <c r="N74" s="103">
        <f t="shared" si="1"/>
        <v>261757.61625599998</v>
      </c>
      <c r="O74" s="101">
        <v>1644903</v>
      </c>
      <c r="P74" s="104">
        <v>0.11</v>
      </c>
      <c r="Q74" s="104">
        <v>2.12E-2</v>
      </c>
      <c r="R74" s="97">
        <v>142</v>
      </c>
      <c r="S74" s="101">
        <v>178198</v>
      </c>
      <c r="T74" s="101">
        <v>174420</v>
      </c>
      <c r="U74" s="101">
        <v>271</v>
      </c>
      <c r="V74" s="101">
        <v>196231</v>
      </c>
      <c r="W74" s="104">
        <v>0.91700000000000004</v>
      </c>
      <c r="X74" s="101">
        <v>2869271</v>
      </c>
    </row>
    <row r="75" spans="1:24" ht="14">
      <c r="A75" s="93" t="s">
        <v>262</v>
      </c>
      <c r="B75" s="93">
        <v>43222001</v>
      </c>
      <c r="C75" s="94">
        <v>7</v>
      </c>
      <c r="D75" s="95" t="s">
        <v>125</v>
      </c>
      <c r="E75" s="96" t="s">
        <v>147</v>
      </c>
      <c r="F75" s="97">
        <v>18330299112</v>
      </c>
      <c r="G75" s="106" t="s">
        <v>137</v>
      </c>
      <c r="H75" s="99" t="s">
        <v>155</v>
      </c>
      <c r="I75" s="100"/>
      <c r="J75" t="s">
        <v>263</v>
      </c>
      <c r="K75" t="s">
        <v>264</v>
      </c>
      <c r="L75" s="101">
        <v>3278350</v>
      </c>
      <c r="M75" s="102">
        <v>9.1727000000000003E-2</v>
      </c>
      <c r="N75" s="103">
        <f t="shared" si="1"/>
        <v>300713.21045000001</v>
      </c>
      <c r="O75" s="101">
        <v>1133326</v>
      </c>
      <c r="P75" s="104">
        <v>0.2732</v>
      </c>
      <c r="Q75" s="104">
        <v>2.9399999999999999E-2</v>
      </c>
      <c r="R75" s="97">
        <v>41</v>
      </c>
      <c r="S75" s="101">
        <v>702107</v>
      </c>
      <c r="T75" s="101">
        <v>681465</v>
      </c>
      <c r="U75" s="101">
        <v>80</v>
      </c>
      <c r="V75" s="101">
        <v>663814</v>
      </c>
      <c r="W75" s="104">
        <v>0.91400000000000003</v>
      </c>
      <c r="X75" s="101">
        <v>2996412</v>
      </c>
    </row>
    <row r="76" spans="1:24" ht="14">
      <c r="A76" s="93" t="s">
        <v>265</v>
      </c>
      <c r="B76" s="93">
        <v>551188239</v>
      </c>
      <c r="C76" s="94">
        <v>7</v>
      </c>
      <c r="D76" s="95" t="s">
        <v>125</v>
      </c>
      <c r="E76" s="96" t="s">
        <v>147</v>
      </c>
      <c r="F76" s="97">
        <v>17333219806</v>
      </c>
      <c r="G76" s="105"/>
      <c r="H76" s="100"/>
      <c r="I76" s="100"/>
      <c r="L76" s="101">
        <v>3091000</v>
      </c>
      <c r="M76" s="102">
        <v>9.2363000000000001E-2</v>
      </c>
      <c r="N76" s="103">
        <f t="shared" si="1"/>
        <v>285494.033</v>
      </c>
      <c r="O76" s="101">
        <v>1453388</v>
      </c>
      <c r="P76" s="104">
        <v>0.26729999999999998</v>
      </c>
      <c r="Q76" s="104">
        <v>0.182</v>
      </c>
      <c r="R76" s="97">
        <v>41</v>
      </c>
      <c r="S76" s="101">
        <v>839971</v>
      </c>
      <c r="T76" s="101">
        <v>687096</v>
      </c>
      <c r="U76" s="101">
        <v>64</v>
      </c>
      <c r="V76" s="101">
        <v>774754</v>
      </c>
      <c r="W76" s="104">
        <v>0.82899999999999996</v>
      </c>
      <c r="X76" s="101">
        <v>2562439</v>
      </c>
    </row>
    <row r="77" spans="1:24" ht="14">
      <c r="A77" s="93" t="s">
        <v>266</v>
      </c>
      <c r="B77" s="93">
        <v>423895</v>
      </c>
      <c r="C77" s="94">
        <v>7</v>
      </c>
      <c r="D77" s="95" t="s">
        <v>125</v>
      </c>
      <c r="E77" s="96" t="s">
        <v>194</v>
      </c>
      <c r="F77" s="97">
        <v>15921940470</v>
      </c>
      <c r="G77" s="105"/>
      <c r="H77" s="100"/>
      <c r="I77" s="100"/>
      <c r="L77" s="101">
        <v>2624463</v>
      </c>
      <c r="M77" s="102">
        <v>0.14080400000000001</v>
      </c>
      <c r="N77" s="103">
        <f t="shared" si="1"/>
        <v>369534.88825200003</v>
      </c>
      <c r="O77" s="101">
        <v>549563</v>
      </c>
      <c r="P77" s="104">
        <v>8.0000000000000002E-3</v>
      </c>
      <c r="Q77" s="104">
        <v>2.06E-2</v>
      </c>
      <c r="R77" s="97">
        <v>14</v>
      </c>
      <c r="S77" s="101">
        <v>1417592</v>
      </c>
      <c r="T77" s="101">
        <v>1388390</v>
      </c>
      <c r="U77" s="101">
        <v>43</v>
      </c>
      <c r="V77" s="101">
        <v>1020250</v>
      </c>
      <c r="W77" s="104">
        <v>0.94699999999999995</v>
      </c>
      <c r="X77" s="101">
        <v>2485366</v>
      </c>
    </row>
    <row r="78" spans="1:24" ht="14">
      <c r="A78" s="93" t="s">
        <v>267</v>
      </c>
      <c r="B78" s="93">
        <v>1629347259</v>
      </c>
      <c r="C78" s="94">
        <v>7</v>
      </c>
      <c r="D78" s="95" t="s">
        <v>125</v>
      </c>
      <c r="E78" s="96" t="s">
        <v>147</v>
      </c>
      <c r="F78" s="97">
        <v>19170330979</v>
      </c>
      <c r="G78" s="105"/>
      <c r="H78" s="100"/>
      <c r="I78" s="100"/>
      <c r="L78" s="101">
        <v>2148682</v>
      </c>
      <c r="M78" s="102">
        <v>0.31174600000000002</v>
      </c>
      <c r="N78" s="103">
        <f t="shared" si="1"/>
        <v>669843.0187720001</v>
      </c>
      <c r="O78" s="101">
        <v>1012674</v>
      </c>
      <c r="P78" s="104">
        <v>2.41E-2</v>
      </c>
      <c r="Q78" s="104">
        <v>0.03</v>
      </c>
      <c r="R78" s="97">
        <v>156</v>
      </c>
      <c r="S78" s="101">
        <v>535691</v>
      </c>
      <c r="T78" s="101">
        <v>519620</v>
      </c>
      <c r="U78" s="101">
        <v>310</v>
      </c>
      <c r="V78" s="101">
        <v>568024</v>
      </c>
      <c r="W78" s="104">
        <v>0.92900000000000005</v>
      </c>
      <c r="X78" s="101">
        <v>1996126</v>
      </c>
    </row>
    <row r="79" spans="1:24" ht="14">
      <c r="A79" s="93" t="s">
        <v>268</v>
      </c>
      <c r="B79" s="93">
        <v>79061224</v>
      </c>
      <c r="C79" s="94">
        <v>7</v>
      </c>
      <c r="D79" s="95" t="s">
        <v>125</v>
      </c>
      <c r="E79" s="96" t="s">
        <v>132</v>
      </c>
      <c r="F79" s="97">
        <v>13161393043</v>
      </c>
      <c r="G79" s="105"/>
      <c r="H79" s="100"/>
      <c r="I79" s="100"/>
      <c r="L79" s="101">
        <v>5224196</v>
      </c>
      <c r="M79" s="102">
        <v>3.5475E-2</v>
      </c>
      <c r="N79" s="103">
        <f t="shared" si="1"/>
        <v>185328.35310000001</v>
      </c>
      <c r="O79" s="101">
        <v>1012449</v>
      </c>
      <c r="P79" s="104">
        <v>2.7400000000000001E-2</v>
      </c>
      <c r="Q79" s="104">
        <v>0.13070000000000001</v>
      </c>
      <c r="R79" s="97">
        <v>17</v>
      </c>
      <c r="S79" s="101">
        <v>1158260</v>
      </c>
      <c r="T79" s="101">
        <v>1006875</v>
      </c>
      <c r="U79" s="101">
        <v>32</v>
      </c>
      <c r="V79" s="101">
        <v>1310858</v>
      </c>
      <c r="W79" s="104">
        <v>0.92300000000000004</v>
      </c>
      <c r="X79" s="101">
        <v>4821933</v>
      </c>
    </row>
    <row r="80" spans="1:24" ht="14">
      <c r="A80" s="93" t="s">
        <v>269</v>
      </c>
      <c r="B80" s="93">
        <v>7788379</v>
      </c>
      <c r="C80" s="94">
        <v>7</v>
      </c>
      <c r="D80" s="95" t="s">
        <v>125</v>
      </c>
      <c r="E80" s="96" t="s">
        <v>270</v>
      </c>
      <c r="F80" s="97">
        <v>18846798192</v>
      </c>
      <c r="G80" s="105"/>
      <c r="H80" s="100"/>
      <c r="I80" s="100"/>
      <c r="L80" s="101">
        <v>8126712</v>
      </c>
      <c r="M80" s="102">
        <v>1.9445E-2</v>
      </c>
      <c r="N80" s="103">
        <f t="shared" si="1"/>
        <v>158023.91484000001</v>
      </c>
      <c r="O80" s="101">
        <v>992272</v>
      </c>
      <c r="P80" s="104">
        <v>6.9699999999999998E-2</v>
      </c>
      <c r="Q80" s="104">
        <v>0.11409999999999999</v>
      </c>
      <c r="R80" s="97">
        <v>10</v>
      </c>
      <c r="S80" s="101">
        <v>1907273</v>
      </c>
      <c r="T80" s="101">
        <v>1689665</v>
      </c>
      <c r="U80" s="101">
        <v>22</v>
      </c>
      <c r="V80" s="101">
        <v>1754449</v>
      </c>
      <c r="W80" s="104">
        <v>0.91600000000000004</v>
      </c>
      <c r="X80" s="101">
        <v>7444068</v>
      </c>
    </row>
    <row r="81" spans="1:24" ht="14">
      <c r="A81" s="93" t="s">
        <v>271</v>
      </c>
      <c r="B81" s="93">
        <v>280793434</v>
      </c>
      <c r="C81" s="94">
        <v>7</v>
      </c>
      <c r="D81" s="95" t="s">
        <v>125</v>
      </c>
      <c r="E81" s="96" t="s">
        <v>272</v>
      </c>
      <c r="F81" s="97">
        <v>17325450230</v>
      </c>
      <c r="G81" s="105"/>
      <c r="H81" s="100"/>
      <c r="I81" s="100"/>
      <c r="J81" t="s">
        <v>273</v>
      </c>
      <c r="K81" t="s">
        <v>274</v>
      </c>
      <c r="L81" s="101">
        <v>8123793</v>
      </c>
      <c r="M81" s="102">
        <v>8.5499999999999997E-4</v>
      </c>
      <c r="N81" s="103">
        <f t="shared" si="1"/>
        <v>6945.8430149999995</v>
      </c>
      <c r="O81" s="101">
        <v>67427</v>
      </c>
      <c r="P81" s="104">
        <v>0.1137</v>
      </c>
      <c r="Q81" s="104">
        <v>0.3664</v>
      </c>
      <c r="R81" s="97">
        <v>1</v>
      </c>
      <c r="S81" s="101">
        <v>8783099</v>
      </c>
      <c r="T81" s="101">
        <v>5564972</v>
      </c>
      <c r="U81" s="101">
        <v>3</v>
      </c>
      <c r="V81" s="101">
        <v>5239100</v>
      </c>
      <c r="W81" s="104">
        <v>0.91600000000000004</v>
      </c>
      <c r="X81" s="101">
        <v>7441394</v>
      </c>
    </row>
    <row r="82" spans="1:24" ht="14">
      <c r="A82" s="93" t="s">
        <v>275</v>
      </c>
      <c r="B82" s="93">
        <v>9824766</v>
      </c>
      <c r="C82" s="94">
        <v>7</v>
      </c>
      <c r="D82" s="95" t="s">
        <v>125</v>
      </c>
      <c r="E82" s="96" t="s">
        <v>276</v>
      </c>
      <c r="F82" s="97">
        <v>18081287113</v>
      </c>
      <c r="G82" s="105"/>
      <c r="H82" s="100"/>
      <c r="I82" s="100"/>
      <c r="L82" s="101">
        <v>9289165</v>
      </c>
      <c r="M82" s="102">
        <v>7.5600000000000005E-4</v>
      </c>
      <c r="N82" s="103">
        <f t="shared" si="1"/>
        <v>7022.6087400000006</v>
      </c>
      <c r="O82" s="101">
        <v>130977</v>
      </c>
      <c r="P82" s="104">
        <v>0.18729999999999999</v>
      </c>
      <c r="Q82" s="104">
        <v>0.1017</v>
      </c>
      <c r="R82" s="97">
        <v>2</v>
      </c>
      <c r="S82" s="101">
        <v>2943485</v>
      </c>
      <c r="T82" s="101">
        <v>2644133</v>
      </c>
      <c r="U82" s="101">
        <v>5</v>
      </c>
      <c r="V82" s="101">
        <v>2259596</v>
      </c>
      <c r="W82" s="104">
        <v>0.91200000000000003</v>
      </c>
      <c r="X82" s="101">
        <v>8471718</v>
      </c>
    </row>
    <row r="83" spans="1:24" ht="14">
      <c r="A83" s="93" t="s">
        <v>277</v>
      </c>
      <c r="B83" s="93">
        <v>517327498</v>
      </c>
      <c r="C83" s="94">
        <v>7</v>
      </c>
      <c r="D83" s="95" t="s">
        <v>122</v>
      </c>
      <c r="E83" s="96" t="s">
        <v>130</v>
      </c>
      <c r="F83" s="97">
        <v>13910276657</v>
      </c>
      <c r="G83" s="105" t="s">
        <v>22</v>
      </c>
      <c r="H83" s="100"/>
      <c r="I83" s="100"/>
      <c r="J83" t="s">
        <v>278</v>
      </c>
      <c r="L83" s="101">
        <v>32222634</v>
      </c>
      <c r="M83" s="102">
        <v>2.3050000000000002E-3</v>
      </c>
      <c r="N83" s="103">
        <f t="shared" si="1"/>
        <v>74273.171370000011</v>
      </c>
      <c r="O83" s="101">
        <v>2223362</v>
      </c>
      <c r="P83" s="104">
        <v>0.3301</v>
      </c>
      <c r="Q83" s="104">
        <v>8.5000000000000006E-3</v>
      </c>
      <c r="R83" s="97">
        <v>12</v>
      </c>
      <c r="S83" s="101">
        <v>1719533</v>
      </c>
      <c r="T83" s="101">
        <v>1704917</v>
      </c>
      <c r="U83" s="101">
        <v>23</v>
      </c>
      <c r="V83" s="101">
        <v>1780215</v>
      </c>
      <c r="W83" s="104">
        <v>0.88700000000000001</v>
      </c>
      <c r="X83" s="101">
        <v>28581476</v>
      </c>
    </row>
    <row r="84" spans="1:24" ht="14">
      <c r="A84" s="93" t="s">
        <v>279</v>
      </c>
      <c r="B84" s="93">
        <v>97213827</v>
      </c>
      <c r="C84" s="94">
        <v>7</v>
      </c>
      <c r="D84" s="95" t="s">
        <v>125</v>
      </c>
      <c r="E84" s="96" t="s">
        <v>147</v>
      </c>
      <c r="F84" s="97">
        <v>15342970175</v>
      </c>
      <c r="G84" s="105"/>
      <c r="H84" s="100"/>
      <c r="I84" s="100"/>
      <c r="L84" s="101">
        <v>4961150</v>
      </c>
      <c r="M84" s="102">
        <v>3.6738E-2</v>
      </c>
      <c r="N84" s="103">
        <f t="shared" si="1"/>
        <v>182262.72870000001</v>
      </c>
      <c r="O84" s="101">
        <v>1271047</v>
      </c>
      <c r="P84" s="104">
        <v>0.47539999999999999</v>
      </c>
      <c r="Q84" s="104">
        <v>6.2E-2</v>
      </c>
      <c r="R84" s="97">
        <v>88</v>
      </c>
      <c r="S84" s="101">
        <v>919279</v>
      </c>
      <c r="T84" s="101">
        <v>862284</v>
      </c>
      <c r="U84" s="101">
        <v>165</v>
      </c>
      <c r="V84" s="101">
        <v>1172806</v>
      </c>
      <c r="W84" s="104">
        <v>0.85299999999999998</v>
      </c>
      <c r="X84" s="101">
        <v>4231861</v>
      </c>
    </row>
    <row r="85" spans="1:24" ht="14">
      <c r="A85" s="93" t="s">
        <v>280</v>
      </c>
      <c r="B85" s="93">
        <v>20669779</v>
      </c>
      <c r="C85" s="94">
        <v>7</v>
      </c>
      <c r="D85" s="95" t="s">
        <v>125</v>
      </c>
      <c r="E85" s="96" t="s">
        <v>147</v>
      </c>
      <c r="F85" s="97">
        <v>13121388855</v>
      </c>
      <c r="G85" s="105"/>
      <c r="H85" s="100"/>
      <c r="I85" s="100"/>
      <c r="L85" s="101">
        <v>1972735</v>
      </c>
      <c r="M85" s="102">
        <v>4.7402E-2</v>
      </c>
      <c r="N85" s="103">
        <f t="shared" si="1"/>
        <v>93511.584470000002</v>
      </c>
      <c r="O85" s="101">
        <v>700715</v>
      </c>
      <c r="P85" s="104">
        <v>0.155</v>
      </c>
      <c r="Q85" s="104">
        <v>0.26</v>
      </c>
      <c r="R85" s="97">
        <v>10</v>
      </c>
      <c r="S85" s="101">
        <v>3531312</v>
      </c>
      <c r="T85" s="101">
        <v>2613171</v>
      </c>
      <c r="U85" s="101">
        <v>22</v>
      </c>
      <c r="V85" s="101">
        <v>4147981</v>
      </c>
      <c r="W85" s="104">
        <v>0.66200000000000003</v>
      </c>
      <c r="X85" s="101">
        <v>1305951</v>
      </c>
    </row>
    <row r="86" spans="1:24" ht="14">
      <c r="A86" s="93" t="s">
        <v>281</v>
      </c>
      <c r="B86" s="93">
        <v>1869712375</v>
      </c>
      <c r="C86" s="94">
        <v>6</v>
      </c>
      <c r="D86" s="95" t="s">
        <v>125</v>
      </c>
      <c r="E86" s="96" t="s">
        <v>282</v>
      </c>
      <c r="F86" s="97">
        <v>13038266672</v>
      </c>
      <c r="G86" s="105"/>
      <c r="H86" s="100"/>
      <c r="I86" s="100"/>
      <c r="L86" s="101">
        <v>3843168</v>
      </c>
      <c r="M86" s="102">
        <v>4.1489999999999999E-3</v>
      </c>
      <c r="N86" s="103">
        <f t="shared" si="1"/>
        <v>15945.304032</v>
      </c>
      <c r="O86" s="101">
        <v>872399</v>
      </c>
      <c r="P86" s="104">
        <v>0.85229999999999995</v>
      </c>
      <c r="Q86" s="104">
        <v>4.8899999999999999E-2</v>
      </c>
      <c r="R86" s="97">
        <v>6</v>
      </c>
      <c r="S86" s="101">
        <v>2002423</v>
      </c>
      <c r="T86" s="101">
        <v>1904505</v>
      </c>
      <c r="U86" s="101">
        <v>11</v>
      </c>
      <c r="V86" s="101">
        <v>2189279</v>
      </c>
      <c r="W86" s="104">
        <v>0.90700000000000003</v>
      </c>
      <c r="X86" s="101">
        <v>3485753</v>
      </c>
    </row>
    <row r="87" spans="1:24" ht="14">
      <c r="A87" s="93" t="s">
        <v>283</v>
      </c>
      <c r="B87" s="93">
        <v>50660116</v>
      </c>
      <c r="C87" s="94">
        <v>6</v>
      </c>
      <c r="D87" s="95" t="s">
        <v>122</v>
      </c>
      <c r="E87" s="96" t="s">
        <v>143</v>
      </c>
      <c r="F87" s="97">
        <v>18390802580</v>
      </c>
      <c r="G87" s="105" t="s">
        <v>137</v>
      </c>
      <c r="H87" s="100"/>
      <c r="I87" s="100"/>
      <c r="L87" s="101">
        <v>3300317</v>
      </c>
      <c r="M87" s="102">
        <v>7.2610000000000001E-3</v>
      </c>
      <c r="N87" s="103">
        <f t="shared" si="1"/>
        <v>23963.601737000001</v>
      </c>
      <c r="O87" s="101">
        <v>655773</v>
      </c>
      <c r="P87" s="104">
        <v>0.28510000000000002</v>
      </c>
      <c r="Q87" s="104">
        <v>0.27839999999999998</v>
      </c>
      <c r="R87" s="97">
        <v>12</v>
      </c>
      <c r="S87" s="101">
        <v>2991668</v>
      </c>
      <c r="T87" s="101">
        <v>2158788</v>
      </c>
      <c r="U87" s="101">
        <v>24</v>
      </c>
      <c r="V87" s="101">
        <v>4864224</v>
      </c>
      <c r="W87" s="104">
        <v>0.88900000000000001</v>
      </c>
      <c r="X87" s="101">
        <v>2933982</v>
      </c>
    </row>
    <row r="88" spans="1:24" ht="14">
      <c r="A88" s="93" t="s">
        <v>284</v>
      </c>
      <c r="B88" s="93">
        <v>515993</v>
      </c>
      <c r="C88" s="94">
        <v>6</v>
      </c>
      <c r="D88" s="95" t="s">
        <v>125</v>
      </c>
      <c r="E88" s="96" t="s">
        <v>245</v>
      </c>
      <c r="F88" s="97">
        <v>18755489009</v>
      </c>
      <c r="G88" s="105"/>
      <c r="H88" s="100"/>
      <c r="I88" s="100"/>
      <c r="L88" s="101">
        <v>3886265</v>
      </c>
      <c r="M88" s="102">
        <v>4.5729999999999998E-3</v>
      </c>
      <c r="N88" s="103">
        <f t="shared" si="1"/>
        <v>17771.889844999998</v>
      </c>
      <c r="O88" s="101">
        <v>511432</v>
      </c>
      <c r="P88" s="104">
        <v>0.40699999999999997</v>
      </c>
      <c r="Q88" s="104">
        <v>2.6100000000000002E-2</v>
      </c>
      <c r="R88" s="97">
        <v>7</v>
      </c>
      <c r="S88" s="101">
        <v>1818947</v>
      </c>
      <c r="T88" s="101">
        <v>1771472</v>
      </c>
      <c r="U88" s="101">
        <v>13</v>
      </c>
      <c r="V88" s="101">
        <v>1653287</v>
      </c>
      <c r="W88" s="104">
        <v>0.84299999999999997</v>
      </c>
      <c r="X88" s="101">
        <v>3276121</v>
      </c>
    </row>
    <row r="89" spans="1:24" ht="14">
      <c r="A89" s="93" t="s">
        <v>285</v>
      </c>
      <c r="B89" s="93">
        <v>17223352</v>
      </c>
      <c r="C89" s="94">
        <v>6</v>
      </c>
      <c r="D89" s="95" t="s">
        <v>125</v>
      </c>
      <c r="E89" s="96" t="s">
        <v>147</v>
      </c>
      <c r="F89" s="97">
        <v>13062739006</v>
      </c>
      <c r="G89" s="105" t="s">
        <v>184</v>
      </c>
      <c r="H89" s="100"/>
      <c r="I89" s="100"/>
      <c r="L89" s="101">
        <v>1947072</v>
      </c>
      <c r="M89" s="102">
        <v>2.3151999999999999E-2</v>
      </c>
      <c r="N89" s="103">
        <f t="shared" si="1"/>
        <v>45078.610944</v>
      </c>
      <c r="O89" s="101">
        <v>163943</v>
      </c>
      <c r="P89" s="104">
        <v>3.0999999999999999E-3</v>
      </c>
      <c r="Q89" s="104">
        <v>1.9599999999999999E-2</v>
      </c>
      <c r="R89" s="97">
        <v>1</v>
      </c>
      <c r="S89" s="101">
        <v>4908122</v>
      </c>
      <c r="T89" s="101">
        <v>4811884</v>
      </c>
      <c r="U89" s="101">
        <v>2</v>
      </c>
      <c r="V89" s="101">
        <v>4803310</v>
      </c>
      <c r="W89" s="104">
        <v>0.92600000000000005</v>
      </c>
      <c r="X89" s="101">
        <v>1802989</v>
      </c>
    </row>
    <row r="90" spans="1:24" ht="14">
      <c r="A90" s="93" t="s">
        <v>286</v>
      </c>
      <c r="B90" s="93">
        <v>398510</v>
      </c>
      <c r="C90" s="94">
        <v>6</v>
      </c>
      <c r="D90" s="95" t="s">
        <v>125</v>
      </c>
      <c r="E90" s="96" t="s">
        <v>147</v>
      </c>
      <c r="F90" s="97">
        <v>13670047902</v>
      </c>
      <c r="G90" s="105"/>
      <c r="H90" s="100"/>
      <c r="I90" s="100"/>
      <c r="L90" s="101">
        <v>2074552</v>
      </c>
      <c r="M90" s="102">
        <v>4.1027000000000001E-2</v>
      </c>
      <c r="N90" s="103">
        <f t="shared" si="1"/>
        <v>85112.644904000001</v>
      </c>
      <c r="O90" s="101">
        <v>319481</v>
      </c>
      <c r="P90" s="104">
        <v>6.9400000000000003E-2</v>
      </c>
      <c r="Q90" s="104">
        <v>3.3E-3</v>
      </c>
      <c r="R90" s="97">
        <v>4</v>
      </c>
      <c r="S90" s="101">
        <v>2201534</v>
      </c>
      <c r="T90" s="101">
        <v>2194220</v>
      </c>
      <c r="U90" s="101">
        <v>7</v>
      </c>
      <c r="V90" s="101">
        <v>2394960</v>
      </c>
      <c r="W90" s="104">
        <v>0.92500000000000004</v>
      </c>
      <c r="X90" s="101">
        <v>1918961</v>
      </c>
    </row>
    <row r="91" spans="1:24" ht="14">
      <c r="A91" s="93" t="s">
        <v>287</v>
      </c>
      <c r="B91" s="93">
        <v>474803476</v>
      </c>
      <c r="C91" s="94">
        <v>6</v>
      </c>
      <c r="D91" s="95" t="s">
        <v>125</v>
      </c>
      <c r="E91" s="96" t="s">
        <v>288</v>
      </c>
      <c r="F91" s="97">
        <v>18262394468</v>
      </c>
      <c r="G91" s="105"/>
      <c r="H91" s="100"/>
      <c r="I91" s="100"/>
      <c r="L91" s="101">
        <v>2003661</v>
      </c>
      <c r="M91" s="102">
        <v>2.1985000000000001E-2</v>
      </c>
      <c r="N91" s="103">
        <f t="shared" si="1"/>
        <v>44050.487085000001</v>
      </c>
      <c r="O91" s="101">
        <v>282516</v>
      </c>
      <c r="P91" s="104">
        <v>4.9799999999999997E-2</v>
      </c>
      <c r="Q91" s="104">
        <v>0.28660000000000002</v>
      </c>
      <c r="R91" s="97">
        <v>3</v>
      </c>
      <c r="S91" s="101">
        <v>3511680</v>
      </c>
      <c r="T91" s="101">
        <v>2505233</v>
      </c>
      <c r="U91" s="101">
        <v>9</v>
      </c>
      <c r="V91" s="101">
        <v>2106707</v>
      </c>
      <c r="W91" s="104">
        <v>0.91</v>
      </c>
      <c r="X91" s="101">
        <v>1823332</v>
      </c>
    </row>
    <row r="92" spans="1:24" ht="14">
      <c r="A92" s="93" t="s">
        <v>289</v>
      </c>
      <c r="B92" s="93">
        <v>255263412</v>
      </c>
      <c r="C92" s="94">
        <v>6</v>
      </c>
      <c r="D92" s="95" t="s">
        <v>125</v>
      </c>
      <c r="E92" s="96" t="s">
        <v>276</v>
      </c>
      <c r="F92" s="97">
        <v>1055818993</v>
      </c>
      <c r="G92" s="105"/>
      <c r="H92" s="100"/>
      <c r="I92" s="100"/>
      <c r="L92" s="101">
        <v>1655666</v>
      </c>
      <c r="M92" s="102">
        <v>4.1304E-2</v>
      </c>
      <c r="N92" s="103">
        <f t="shared" si="1"/>
        <v>68385.628463999994</v>
      </c>
      <c r="O92" s="101">
        <v>285768</v>
      </c>
      <c r="P92" s="104">
        <v>3.78E-2</v>
      </c>
      <c r="Q92" s="104">
        <v>0.16220000000000001</v>
      </c>
      <c r="R92" s="97">
        <v>3</v>
      </c>
      <c r="S92" s="101">
        <v>2238424</v>
      </c>
      <c r="T92" s="101">
        <v>1875352</v>
      </c>
      <c r="U92" s="101">
        <v>6</v>
      </c>
      <c r="V92" s="101">
        <v>2366399</v>
      </c>
      <c r="W92" s="104">
        <v>0.90600000000000003</v>
      </c>
      <c r="X92" s="101">
        <v>1500033</v>
      </c>
    </row>
    <row r="93" spans="1:24" ht="14">
      <c r="A93" s="93" t="s">
        <v>290</v>
      </c>
      <c r="B93" s="93">
        <v>10462362</v>
      </c>
      <c r="C93" s="94">
        <v>6</v>
      </c>
      <c r="D93" s="95" t="s">
        <v>125</v>
      </c>
      <c r="E93" s="96" t="s">
        <v>147</v>
      </c>
      <c r="F93" s="97">
        <v>18822314168</v>
      </c>
      <c r="G93" s="105"/>
      <c r="H93" s="100"/>
      <c r="I93" s="100"/>
      <c r="L93" s="101">
        <v>2321017</v>
      </c>
      <c r="M93" s="102">
        <v>0.179922</v>
      </c>
      <c r="N93" s="103">
        <f t="shared" si="1"/>
        <v>417602.02067399997</v>
      </c>
      <c r="O93" s="101">
        <v>584896</v>
      </c>
      <c r="P93" s="104">
        <v>2.2200000000000001E-2</v>
      </c>
      <c r="Q93" s="104">
        <v>2.1999999999999999E-2</v>
      </c>
      <c r="R93" s="97">
        <v>27</v>
      </c>
      <c r="S93" s="101">
        <v>789171</v>
      </c>
      <c r="T93" s="101">
        <v>771809</v>
      </c>
      <c r="U93" s="101">
        <v>55</v>
      </c>
      <c r="V93" s="101">
        <v>827504</v>
      </c>
      <c r="W93" s="104">
        <v>0.94799999999999995</v>
      </c>
      <c r="X93" s="101">
        <v>2200324</v>
      </c>
    </row>
    <row r="94" spans="1:24" ht="14">
      <c r="A94" s="93" t="s">
        <v>291</v>
      </c>
      <c r="B94" s="93">
        <v>25503580</v>
      </c>
      <c r="C94" s="94">
        <v>6</v>
      </c>
      <c r="D94" s="95" t="s">
        <v>125</v>
      </c>
      <c r="E94" s="96" t="s">
        <v>147</v>
      </c>
      <c r="F94" s="97">
        <v>13651901500</v>
      </c>
      <c r="G94" s="105"/>
      <c r="H94" s="100"/>
      <c r="I94" s="100"/>
      <c r="L94" s="101">
        <v>1830810</v>
      </c>
      <c r="M94" s="102">
        <v>0.18526200000000001</v>
      </c>
      <c r="N94" s="103">
        <f t="shared" si="1"/>
        <v>339179.52222000004</v>
      </c>
      <c r="O94" s="101">
        <v>888309</v>
      </c>
      <c r="P94" s="104">
        <v>0.14929999999999999</v>
      </c>
      <c r="Q94" s="104">
        <v>2.07E-2</v>
      </c>
      <c r="R94" s="97">
        <v>52</v>
      </c>
      <c r="S94" s="101">
        <v>785813</v>
      </c>
      <c r="T94" s="101">
        <v>769532</v>
      </c>
      <c r="U94" s="101">
        <v>115</v>
      </c>
      <c r="V94" s="101">
        <v>720185</v>
      </c>
      <c r="W94" s="104">
        <v>0.93400000000000005</v>
      </c>
      <c r="X94" s="101">
        <v>1709977</v>
      </c>
    </row>
    <row r="95" spans="1:24" ht="14">
      <c r="A95" s="93" t="s">
        <v>292</v>
      </c>
      <c r="B95" s="93">
        <v>386869863</v>
      </c>
      <c r="C95" s="94">
        <v>6</v>
      </c>
      <c r="D95" s="95" t="s">
        <v>125</v>
      </c>
      <c r="E95" s="96" t="s">
        <v>132</v>
      </c>
      <c r="F95" s="97">
        <v>18610201305</v>
      </c>
      <c r="G95" s="105"/>
      <c r="H95" s="100"/>
      <c r="I95" s="100"/>
      <c r="L95" s="101">
        <v>2578844</v>
      </c>
      <c r="M95" s="102">
        <v>0.14676500000000001</v>
      </c>
      <c r="N95" s="103">
        <f t="shared" si="1"/>
        <v>378484.03966000001</v>
      </c>
      <c r="O95" s="101">
        <v>859787</v>
      </c>
      <c r="P95" s="104">
        <v>0.20749999999999999</v>
      </c>
      <c r="Q95" s="104">
        <v>0.22650000000000001</v>
      </c>
      <c r="R95" s="97">
        <v>32</v>
      </c>
      <c r="S95" s="101">
        <v>1423807</v>
      </c>
      <c r="T95" s="101">
        <v>1101315</v>
      </c>
      <c r="U95" s="101">
        <v>65</v>
      </c>
      <c r="V95" s="101">
        <v>1384886</v>
      </c>
      <c r="W95" s="104">
        <v>0.92900000000000005</v>
      </c>
      <c r="X95" s="101">
        <v>2395746</v>
      </c>
    </row>
    <row r="96" spans="1:24" ht="14">
      <c r="A96" s="93" t="s">
        <v>87</v>
      </c>
      <c r="B96" s="93">
        <v>208130286</v>
      </c>
      <c r="C96" s="94">
        <v>6</v>
      </c>
      <c r="D96" s="95" t="s">
        <v>122</v>
      </c>
      <c r="E96" s="96" t="s">
        <v>130</v>
      </c>
      <c r="F96" s="97">
        <v>18610178895</v>
      </c>
      <c r="G96" s="106" t="s">
        <v>137</v>
      </c>
      <c r="H96" s="99" t="s">
        <v>155</v>
      </c>
      <c r="I96" s="100"/>
      <c r="L96" s="101">
        <v>2117717</v>
      </c>
      <c r="M96" s="102">
        <v>0.205183</v>
      </c>
      <c r="N96" s="103">
        <f t="shared" si="1"/>
        <v>434519.52721100004</v>
      </c>
      <c r="O96" s="101">
        <v>769367</v>
      </c>
      <c r="P96" s="104">
        <v>3.1199999999999999E-2</v>
      </c>
      <c r="Q96" s="104">
        <v>5.96E-2</v>
      </c>
      <c r="R96" s="97">
        <v>21</v>
      </c>
      <c r="S96" s="101">
        <v>1592708</v>
      </c>
      <c r="T96" s="101">
        <v>1497783</v>
      </c>
      <c r="U96" s="101">
        <v>45</v>
      </c>
      <c r="V96" s="101">
        <v>1664182</v>
      </c>
      <c r="W96" s="104">
        <v>0.92700000000000005</v>
      </c>
      <c r="X96" s="101">
        <v>1963124</v>
      </c>
    </row>
    <row r="97" spans="1:24" ht="14">
      <c r="A97" s="93" t="s">
        <v>293</v>
      </c>
      <c r="B97" s="93">
        <v>7295246</v>
      </c>
      <c r="C97" s="94">
        <v>6</v>
      </c>
      <c r="D97" s="95" t="s">
        <v>125</v>
      </c>
      <c r="E97" s="96" t="s">
        <v>253</v>
      </c>
      <c r="F97" s="97">
        <v>4036136318</v>
      </c>
      <c r="G97" s="105"/>
      <c r="H97" s="100"/>
      <c r="I97" s="100"/>
      <c r="L97" s="101">
        <v>2373352</v>
      </c>
      <c r="M97" s="102">
        <v>0.15359700000000001</v>
      </c>
      <c r="N97" s="103">
        <f t="shared" si="1"/>
        <v>364539.74714400002</v>
      </c>
      <c r="O97" s="101">
        <v>563434</v>
      </c>
      <c r="P97" s="104">
        <v>6.2300000000000001E-2</v>
      </c>
      <c r="Q97" s="104">
        <v>2.3E-2</v>
      </c>
      <c r="R97" s="97">
        <v>48</v>
      </c>
      <c r="S97" s="101">
        <v>807387</v>
      </c>
      <c r="T97" s="101">
        <v>788817</v>
      </c>
      <c r="U97" s="101">
        <v>90</v>
      </c>
      <c r="V97" s="101">
        <v>790244</v>
      </c>
      <c r="W97" s="104">
        <v>0.92400000000000004</v>
      </c>
      <c r="X97" s="101">
        <v>2192977</v>
      </c>
    </row>
    <row r="98" spans="1:24" ht="14">
      <c r="A98" s="93" t="s">
        <v>294</v>
      </c>
      <c r="B98" s="93">
        <v>7946432</v>
      </c>
      <c r="C98" s="94">
        <v>6</v>
      </c>
      <c r="D98" s="95" t="s">
        <v>125</v>
      </c>
      <c r="E98" s="96" t="s">
        <v>208</v>
      </c>
      <c r="F98" s="97">
        <v>18609011781</v>
      </c>
      <c r="G98" s="105"/>
      <c r="H98" s="100"/>
      <c r="I98" s="100"/>
      <c r="L98" s="101">
        <v>1778606</v>
      </c>
      <c r="M98" s="102">
        <v>0.239818</v>
      </c>
      <c r="N98" s="103">
        <f t="shared" si="1"/>
        <v>426541.73370799999</v>
      </c>
      <c r="O98" s="101">
        <v>782942</v>
      </c>
      <c r="P98" s="104">
        <v>6.1600000000000002E-2</v>
      </c>
      <c r="Q98" s="104">
        <v>0.04</v>
      </c>
      <c r="R98" s="97">
        <v>41</v>
      </c>
      <c r="S98" s="101">
        <v>1069472</v>
      </c>
      <c r="T98" s="101">
        <v>1026693</v>
      </c>
      <c r="U98" s="101">
        <v>77</v>
      </c>
      <c r="V98" s="101">
        <v>919304</v>
      </c>
      <c r="W98" s="104">
        <v>0.91700000000000004</v>
      </c>
      <c r="X98" s="101">
        <v>1630982</v>
      </c>
    </row>
    <row r="99" spans="1:24" ht="14">
      <c r="A99" s="93" t="s">
        <v>295</v>
      </c>
      <c r="B99" s="93">
        <v>1123353719</v>
      </c>
      <c r="C99" s="94">
        <v>6</v>
      </c>
      <c r="D99" s="95" t="s">
        <v>125</v>
      </c>
      <c r="E99" s="96" t="s">
        <v>147</v>
      </c>
      <c r="F99" s="97">
        <v>18028101543</v>
      </c>
      <c r="G99" s="105"/>
      <c r="H99" s="100"/>
      <c r="I99" s="100"/>
      <c r="L99" s="101">
        <v>2549169</v>
      </c>
      <c r="M99" s="102">
        <v>1.1937E-2</v>
      </c>
      <c r="N99" s="103">
        <f t="shared" si="1"/>
        <v>30429.430353</v>
      </c>
      <c r="O99" s="101">
        <v>423417</v>
      </c>
      <c r="P99" s="104">
        <v>0.2089</v>
      </c>
      <c r="Q99" s="104">
        <v>1.14E-2</v>
      </c>
      <c r="R99" s="97">
        <v>2</v>
      </c>
      <c r="S99" s="101">
        <v>3573003</v>
      </c>
      <c r="T99" s="101">
        <v>3532271</v>
      </c>
      <c r="U99" s="101">
        <v>5</v>
      </c>
      <c r="V99" s="101">
        <v>3379754</v>
      </c>
      <c r="W99" s="104">
        <v>0.81</v>
      </c>
      <c r="X99" s="101">
        <v>2064827</v>
      </c>
    </row>
    <row r="100" spans="1:24" ht="14">
      <c r="A100" s="93" t="s">
        <v>296</v>
      </c>
      <c r="B100" s="93">
        <v>8096990</v>
      </c>
      <c r="C100" s="94">
        <v>6</v>
      </c>
      <c r="D100" s="95" t="s">
        <v>125</v>
      </c>
      <c r="E100" s="96" t="s">
        <v>130</v>
      </c>
      <c r="F100" s="97">
        <v>17858514713</v>
      </c>
      <c r="G100" s="105" t="s">
        <v>184</v>
      </c>
      <c r="H100" s="100"/>
      <c r="I100" s="100"/>
      <c r="L100" s="101">
        <v>3429028</v>
      </c>
      <c r="M100" s="102">
        <v>6.2373999999999999E-2</v>
      </c>
      <c r="N100" s="103">
        <f t="shared" si="1"/>
        <v>213882.192472</v>
      </c>
      <c r="O100" s="101">
        <v>1056141</v>
      </c>
      <c r="P100" s="104">
        <v>7.7100000000000002E-2</v>
      </c>
      <c r="Q100" s="104">
        <v>2.7099999999999999E-2</v>
      </c>
      <c r="R100" s="97">
        <v>13</v>
      </c>
      <c r="S100" s="101">
        <v>1684202</v>
      </c>
      <c r="T100" s="101">
        <v>1638477</v>
      </c>
      <c r="U100" s="101">
        <v>24</v>
      </c>
      <c r="V100" s="101">
        <v>1696659</v>
      </c>
      <c r="W100" s="104">
        <v>0.91700000000000004</v>
      </c>
      <c r="X100" s="101">
        <v>3144419</v>
      </c>
    </row>
    <row r="101" spans="1:24" ht="14">
      <c r="A101" s="93" t="s">
        <v>297</v>
      </c>
      <c r="B101" s="93">
        <v>353539995</v>
      </c>
      <c r="C101" s="94">
        <v>6</v>
      </c>
      <c r="D101" s="95" t="s">
        <v>125</v>
      </c>
      <c r="E101" s="96" t="s">
        <v>128</v>
      </c>
      <c r="F101" s="97">
        <v>17585104934</v>
      </c>
      <c r="G101" s="105"/>
      <c r="H101" s="100"/>
      <c r="I101" s="100"/>
      <c r="L101" s="101">
        <v>4154294</v>
      </c>
      <c r="M101" s="102">
        <v>1.4450000000000001E-3</v>
      </c>
      <c r="N101" s="103">
        <f t="shared" si="1"/>
        <v>6002.9548300000006</v>
      </c>
      <c r="O101" s="101">
        <v>206884</v>
      </c>
      <c r="P101" s="104">
        <v>1.2699999999999999E-2</v>
      </c>
      <c r="Q101" s="104">
        <v>0.57989999999999997</v>
      </c>
      <c r="R101" s="97">
        <v>2</v>
      </c>
      <c r="S101" s="101">
        <v>4452680</v>
      </c>
      <c r="T101" s="101">
        <v>1870571</v>
      </c>
      <c r="U101" s="101">
        <v>2</v>
      </c>
      <c r="V101" s="101">
        <v>4845628</v>
      </c>
      <c r="W101" s="104">
        <v>0.91500000000000004</v>
      </c>
      <c r="X101" s="101">
        <v>3801179</v>
      </c>
    </row>
    <row r="102" spans="1:24" ht="14">
      <c r="A102" s="93" t="s">
        <v>298</v>
      </c>
      <c r="B102" s="93">
        <v>3353026</v>
      </c>
      <c r="C102" s="94">
        <v>6</v>
      </c>
      <c r="D102" s="95" t="s">
        <v>125</v>
      </c>
      <c r="E102" s="96" t="s">
        <v>276</v>
      </c>
      <c r="F102" s="97">
        <v>13101373567</v>
      </c>
      <c r="G102" s="105" t="s">
        <v>184</v>
      </c>
      <c r="H102" s="100"/>
      <c r="I102" s="100"/>
      <c r="L102" s="101">
        <v>2829901</v>
      </c>
      <c r="M102" s="102">
        <v>1.0815999999999999E-2</v>
      </c>
      <c r="N102" s="103">
        <f t="shared" si="1"/>
        <v>30608.209215999999</v>
      </c>
      <c r="O102" s="101">
        <v>245918</v>
      </c>
      <c r="P102" s="104">
        <v>0.20519999999999999</v>
      </c>
      <c r="Q102" s="104">
        <v>0.51029999999999998</v>
      </c>
      <c r="R102" s="97">
        <v>5</v>
      </c>
      <c r="S102" s="101">
        <v>3685339</v>
      </c>
      <c r="T102" s="101">
        <v>1804711</v>
      </c>
      <c r="U102" s="101">
        <v>11</v>
      </c>
      <c r="V102" s="101">
        <v>2503643</v>
      </c>
      <c r="W102" s="104">
        <v>0.88800000000000001</v>
      </c>
      <c r="X102" s="101">
        <v>2512952</v>
      </c>
    </row>
    <row r="103" spans="1:24" ht="14">
      <c r="A103" s="93" t="s">
        <v>299</v>
      </c>
      <c r="B103" s="93">
        <v>1405515989</v>
      </c>
      <c r="C103" s="94">
        <v>6</v>
      </c>
      <c r="D103" s="95" t="s">
        <v>125</v>
      </c>
      <c r="E103" s="96" t="s">
        <v>208</v>
      </c>
      <c r="F103" s="97">
        <v>18836262070</v>
      </c>
      <c r="G103" s="105"/>
      <c r="H103" s="100"/>
      <c r="I103" s="100"/>
      <c r="L103" s="101">
        <v>1271708</v>
      </c>
      <c r="M103" s="102">
        <v>0.22773699999999999</v>
      </c>
      <c r="N103" s="103">
        <f t="shared" si="1"/>
        <v>289614.96479599999</v>
      </c>
      <c r="O103" s="101">
        <v>596050</v>
      </c>
      <c r="P103" s="104">
        <v>7.7799999999999994E-2</v>
      </c>
      <c r="Q103" s="104">
        <v>0.27379999999999999</v>
      </c>
      <c r="R103" s="97">
        <v>17</v>
      </c>
      <c r="S103" s="101">
        <v>2170858</v>
      </c>
      <c r="T103" s="101">
        <v>1576477</v>
      </c>
      <c r="U103" s="101">
        <v>31</v>
      </c>
      <c r="V103" s="101">
        <v>2387846</v>
      </c>
      <c r="W103" s="104">
        <v>0.88500000000000001</v>
      </c>
      <c r="X103" s="101">
        <v>1125462</v>
      </c>
    </row>
    <row r="104" spans="1:24" ht="14">
      <c r="A104" s="93" t="s">
        <v>300</v>
      </c>
      <c r="B104" s="108" t="s">
        <v>301</v>
      </c>
      <c r="C104" s="94">
        <v>6</v>
      </c>
      <c r="D104" s="95" t="s">
        <v>125</v>
      </c>
      <c r="E104" s="96" t="s">
        <v>147</v>
      </c>
      <c r="F104" s="97">
        <v>13046880728</v>
      </c>
      <c r="G104" s="105"/>
      <c r="H104" s="100"/>
      <c r="I104" s="100"/>
      <c r="L104" s="101">
        <v>1662491</v>
      </c>
      <c r="M104" s="102">
        <v>0.18662400000000001</v>
      </c>
      <c r="N104" s="103">
        <f t="shared" si="1"/>
        <v>310260.72038400004</v>
      </c>
      <c r="O104" s="101">
        <v>717365</v>
      </c>
      <c r="P104" s="104">
        <v>0.13009999999999999</v>
      </c>
      <c r="Q104" s="104">
        <v>6.4899999999999999E-2</v>
      </c>
      <c r="R104" s="97">
        <v>37</v>
      </c>
      <c r="S104" s="101">
        <v>1071640</v>
      </c>
      <c r="T104" s="101">
        <v>1002091</v>
      </c>
      <c r="U104" s="101">
        <v>77</v>
      </c>
      <c r="V104" s="101">
        <v>742783</v>
      </c>
      <c r="W104" s="104">
        <v>0.69330000000000003</v>
      </c>
      <c r="X104" s="101">
        <v>1152605</v>
      </c>
    </row>
    <row r="105" spans="1:24" ht="14">
      <c r="A105" s="93" t="s">
        <v>302</v>
      </c>
      <c r="B105" s="93">
        <v>3046429</v>
      </c>
      <c r="C105" s="94">
        <v>6</v>
      </c>
      <c r="D105" s="95" t="s">
        <v>125</v>
      </c>
      <c r="E105" s="96" t="s">
        <v>253</v>
      </c>
      <c r="F105" s="97">
        <v>18755142119</v>
      </c>
      <c r="G105" s="106" t="s">
        <v>137</v>
      </c>
      <c r="H105" s="99" t="s">
        <v>155</v>
      </c>
      <c r="I105" s="100"/>
      <c r="L105" s="101">
        <v>2308097</v>
      </c>
      <c r="M105" s="102">
        <v>1.2156999999999999E-2</v>
      </c>
      <c r="N105" s="103">
        <f t="shared" si="1"/>
        <v>28059.535228999997</v>
      </c>
      <c r="O105" s="101">
        <v>145410</v>
      </c>
      <c r="P105" s="104">
        <v>9.1000000000000004E-3</v>
      </c>
      <c r="Q105" s="104">
        <v>2.76E-2</v>
      </c>
      <c r="R105" s="97">
        <v>2</v>
      </c>
      <c r="S105" s="101">
        <v>2833546</v>
      </c>
      <c r="T105" s="101">
        <v>2755340</v>
      </c>
      <c r="U105" s="101">
        <v>4</v>
      </c>
      <c r="V105" s="101">
        <v>2834914</v>
      </c>
      <c r="W105" s="104">
        <v>0.92300000000000004</v>
      </c>
      <c r="X105" s="101">
        <v>2130374</v>
      </c>
    </row>
    <row r="106" spans="1:24" ht="14">
      <c r="A106" s="93" t="s">
        <v>303</v>
      </c>
      <c r="B106" s="93">
        <v>106685726</v>
      </c>
      <c r="C106" s="94">
        <v>6</v>
      </c>
      <c r="D106" s="95" t="s">
        <v>125</v>
      </c>
      <c r="E106" s="96" t="s">
        <v>130</v>
      </c>
      <c r="F106" s="97">
        <v>18801189087</v>
      </c>
      <c r="G106" s="105"/>
      <c r="H106" s="100"/>
      <c r="I106" s="100"/>
      <c r="L106" s="101">
        <v>2751370</v>
      </c>
      <c r="M106" s="102">
        <v>2.4629999999999999E-3</v>
      </c>
      <c r="N106" s="103">
        <f t="shared" si="1"/>
        <v>6776.6243100000002</v>
      </c>
      <c r="O106" s="101">
        <v>202226</v>
      </c>
      <c r="P106" s="104">
        <v>0.41239999999999999</v>
      </c>
      <c r="Q106" s="104">
        <v>0.18079999999999999</v>
      </c>
      <c r="R106" s="97">
        <v>3</v>
      </c>
      <c r="S106" s="101">
        <v>2773781</v>
      </c>
      <c r="T106" s="101">
        <v>2272281</v>
      </c>
      <c r="U106" s="101">
        <v>10</v>
      </c>
      <c r="V106" s="101">
        <v>1949259</v>
      </c>
      <c r="W106" s="104">
        <v>0.878</v>
      </c>
      <c r="X106" s="101">
        <v>2415703</v>
      </c>
    </row>
    <row r="107" spans="1:24" ht="14">
      <c r="A107" s="93" t="s">
        <v>304</v>
      </c>
      <c r="B107" s="93">
        <v>691415738</v>
      </c>
      <c r="C107" s="94">
        <v>6</v>
      </c>
      <c r="D107" s="95" t="s">
        <v>125</v>
      </c>
      <c r="E107" s="96" t="s">
        <v>305</v>
      </c>
      <c r="F107" s="97">
        <v>15588975673</v>
      </c>
      <c r="G107" s="105"/>
      <c r="H107" s="100"/>
      <c r="I107" s="100"/>
      <c r="L107" s="101">
        <v>2511165</v>
      </c>
      <c r="M107" s="102">
        <v>6.0219999999999996E-3</v>
      </c>
      <c r="N107" s="103">
        <f t="shared" si="1"/>
        <v>15122.235629999999</v>
      </c>
      <c r="O107" s="101">
        <v>165988</v>
      </c>
      <c r="P107" s="104">
        <v>0.3362</v>
      </c>
      <c r="Q107" s="104">
        <v>0.31769999999999998</v>
      </c>
      <c r="R107" s="97">
        <v>4</v>
      </c>
      <c r="S107" s="101">
        <v>3203975</v>
      </c>
      <c r="T107" s="101">
        <v>2186072</v>
      </c>
      <c r="U107" s="101">
        <v>7</v>
      </c>
      <c r="V107" s="101">
        <v>2386876</v>
      </c>
      <c r="W107" s="104">
        <v>0.86199999999999999</v>
      </c>
      <c r="X107" s="101">
        <v>2164624</v>
      </c>
    </row>
    <row r="108" spans="1:24" ht="14">
      <c r="A108" s="93" t="s">
        <v>306</v>
      </c>
      <c r="B108" s="93">
        <v>390527713</v>
      </c>
      <c r="C108" s="94">
        <v>6</v>
      </c>
      <c r="D108" s="95" t="s">
        <v>125</v>
      </c>
      <c r="E108" s="96" t="s">
        <v>147</v>
      </c>
      <c r="F108" s="97">
        <v>13124630853</v>
      </c>
      <c r="G108" s="105"/>
      <c r="H108" s="100"/>
      <c r="I108" s="100"/>
      <c r="L108" s="101">
        <v>2935151</v>
      </c>
      <c r="M108" s="102">
        <v>6.7159999999999997E-3</v>
      </c>
      <c r="N108" s="103">
        <f t="shared" si="1"/>
        <v>19712.474115999998</v>
      </c>
      <c r="O108" s="101">
        <v>133843</v>
      </c>
      <c r="P108" s="104">
        <v>0.23769999999999999</v>
      </c>
      <c r="Q108" s="104">
        <v>0.31140000000000001</v>
      </c>
      <c r="R108" s="97">
        <v>3</v>
      </c>
      <c r="S108" s="101">
        <v>4268005</v>
      </c>
      <c r="T108" s="101">
        <v>2938948</v>
      </c>
      <c r="U108" s="101">
        <v>7</v>
      </c>
      <c r="V108" s="101">
        <v>4348493</v>
      </c>
      <c r="W108" s="104">
        <v>0.748</v>
      </c>
      <c r="X108" s="101">
        <v>2195493</v>
      </c>
    </row>
    <row r="109" spans="1:24" ht="14">
      <c r="A109" s="93" t="s">
        <v>307</v>
      </c>
      <c r="B109" s="93">
        <v>547072854</v>
      </c>
      <c r="C109" s="94">
        <v>6</v>
      </c>
      <c r="D109" s="95" t="s">
        <v>125</v>
      </c>
      <c r="E109" s="96" t="s">
        <v>130</v>
      </c>
      <c r="F109" s="97">
        <v>18625296080</v>
      </c>
      <c r="G109" s="105"/>
      <c r="H109" s="100"/>
      <c r="I109" s="100"/>
      <c r="L109" s="101">
        <v>2634836</v>
      </c>
      <c r="M109" s="102">
        <v>0.15090999999999999</v>
      </c>
      <c r="N109" s="103">
        <f t="shared" si="1"/>
        <v>397623.10075999994</v>
      </c>
      <c r="O109" s="101">
        <v>872394</v>
      </c>
      <c r="P109" s="104">
        <v>2.69E-2</v>
      </c>
      <c r="Q109" s="104">
        <v>9.4999999999999998E-3</v>
      </c>
      <c r="R109" s="97">
        <v>46</v>
      </c>
      <c r="S109" s="101">
        <v>598634</v>
      </c>
      <c r="T109" s="101">
        <v>592947</v>
      </c>
      <c r="U109" s="101">
        <v>77</v>
      </c>
      <c r="V109" s="101">
        <v>614448</v>
      </c>
      <c r="W109" s="104">
        <v>0.92500000000000004</v>
      </c>
      <c r="X109" s="101">
        <v>2437223</v>
      </c>
    </row>
    <row r="110" spans="1:24" ht="14">
      <c r="A110" s="93" t="s">
        <v>308</v>
      </c>
      <c r="B110" s="93">
        <v>14110780</v>
      </c>
      <c r="C110" s="94">
        <v>6</v>
      </c>
      <c r="D110" s="95" t="s">
        <v>125</v>
      </c>
      <c r="E110" s="96" t="s">
        <v>233</v>
      </c>
      <c r="F110" s="97">
        <v>15158819810</v>
      </c>
      <c r="G110" s="105"/>
      <c r="H110" s="100"/>
      <c r="I110" s="100"/>
      <c r="L110" s="101">
        <v>7139652</v>
      </c>
      <c r="M110" s="102">
        <v>7.5269999999999998E-3</v>
      </c>
      <c r="N110" s="103">
        <f t="shared" si="1"/>
        <v>53740.160603999997</v>
      </c>
      <c r="O110" s="101">
        <v>1251581</v>
      </c>
      <c r="P110" s="104">
        <v>0.38440000000000002</v>
      </c>
      <c r="Q110" s="104">
        <v>0.17780000000000001</v>
      </c>
      <c r="R110" s="97">
        <v>31</v>
      </c>
      <c r="S110" s="101">
        <v>708769</v>
      </c>
      <c r="T110" s="101">
        <v>582750</v>
      </c>
      <c r="U110" s="101">
        <v>82</v>
      </c>
      <c r="V110" s="101">
        <v>476824</v>
      </c>
      <c r="W110" s="104">
        <v>0.92500000000000004</v>
      </c>
      <c r="X110" s="101">
        <v>6604178</v>
      </c>
    </row>
    <row r="111" spans="1:24" ht="14">
      <c r="A111" s="93" t="s">
        <v>309</v>
      </c>
      <c r="B111" s="93">
        <v>4162287</v>
      </c>
      <c r="C111" s="94">
        <v>6</v>
      </c>
      <c r="D111" s="95" t="s">
        <v>125</v>
      </c>
      <c r="E111" s="96" t="s">
        <v>147</v>
      </c>
      <c r="F111" s="97">
        <v>7796716520</v>
      </c>
      <c r="G111" s="105"/>
      <c r="H111" s="100"/>
      <c r="I111" s="100"/>
      <c r="L111" s="101">
        <v>5656426</v>
      </c>
      <c r="M111" s="102">
        <v>1.8214999999999999E-2</v>
      </c>
      <c r="N111" s="103">
        <f t="shared" si="1"/>
        <v>103031.79959</v>
      </c>
      <c r="O111" s="101">
        <v>1099044</v>
      </c>
      <c r="P111" s="104">
        <v>0.1333</v>
      </c>
      <c r="Q111" s="104">
        <v>0.1032</v>
      </c>
      <c r="R111" s="97">
        <v>28</v>
      </c>
      <c r="S111" s="101">
        <v>441779</v>
      </c>
      <c r="T111" s="101">
        <v>396187</v>
      </c>
      <c r="U111" s="101">
        <v>52</v>
      </c>
      <c r="V111" s="101">
        <v>454152</v>
      </c>
      <c r="W111" s="104">
        <v>0.92300000000000004</v>
      </c>
      <c r="X111" s="101">
        <v>5220881</v>
      </c>
    </row>
    <row r="112" spans="1:24" ht="14">
      <c r="A112" s="93" t="s">
        <v>310</v>
      </c>
      <c r="B112" s="93">
        <v>11073</v>
      </c>
      <c r="C112" s="94">
        <v>6</v>
      </c>
      <c r="D112" s="95" t="s">
        <v>125</v>
      </c>
      <c r="E112" s="96" t="s">
        <v>253</v>
      </c>
      <c r="F112" s="97">
        <v>18650008470</v>
      </c>
      <c r="G112" s="105"/>
      <c r="H112" s="100"/>
      <c r="I112" s="100"/>
      <c r="K112" t="s">
        <v>311</v>
      </c>
      <c r="L112" s="101">
        <v>4890037</v>
      </c>
      <c r="M112" s="102">
        <v>7.77E-3</v>
      </c>
      <c r="N112" s="103">
        <f t="shared" si="1"/>
        <v>37995.587489999998</v>
      </c>
      <c r="O112" s="101">
        <v>961381</v>
      </c>
      <c r="P112" s="104">
        <v>0.1143</v>
      </c>
      <c r="Q112" s="104">
        <v>3.8800000000000001E-2</v>
      </c>
      <c r="R112" s="97">
        <v>10</v>
      </c>
      <c r="S112" s="101">
        <v>746167</v>
      </c>
      <c r="T112" s="101">
        <v>717216</v>
      </c>
      <c r="U112" s="101">
        <v>18</v>
      </c>
      <c r="V112" s="101">
        <v>704516</v>
      </c>
      <c r="W112" s="104">
        <v>0.89300000000000002</v>
      </c>
      <c r="X112" s="101">
        <v>4366803</v>
      </c>
    </row>
    <row r="113" spans="1:24" ht="14">
      <c r="A113" s="93" t="s">
        <v>312</v>
      </c>
      <c r="B113" s="93">
        <v>648113003</v>
      </c>
      <c r="C113" s="94">
        <v>6</v>
      </c>
      <c r="D113" s="95" t="s">
        <v>125</v>
      </c>
      <c r="E113" s="96" t="s">
        <v>130</v>
      </c>
      <c r="F113" s="97">
        <v>18616671348</v>
      </c>
      <c r="G113" s="105"/>
      <c r="H113" s="100"/>
      <c r="I113" s="100"/>
      <c r="L113" s="101">
        <v>2517342</v>
      </c>
      <c r="M113" s="102">
        <v>0.11806899999999999</v>
      </c>
      <c r="N113" s="103">
        <f t="shared" si="1"/>
        <v>297220.05259799998</v>
      </c>
      <c r="O113" s="101">
        <v>667347</v>
      </c>
      <c r="P113" s="104">
        <v>1.41E-2</v>
      </c>
      <c r="Q113" s="104">
        <v>7.4999999999999997E-3</v>
      </c>
      <c r="R113" s="97">
        <v>23</v>
      </c>
      <c r="S113" s="101">
        <v>587100</v>
      </c>
      <c r="T113" s="101">
        <v>582719</v>
      </c>
      <c r="U113" s="101">
        <v>75</v>
      </c>
      <c r="V113" s="101">
        <v>534880</v>
      </c>
      <c r="W113" s="104">
        <v>0.92600000000000005</v>
      </c>
      <c r="X113" s="101">
        <v>2331059</v>
      </c>
    </row>
    <row r="114" spans="1:24" ht="14">
      <c r="A114" s="93" t="s">
        <v>313</v>
      </c>
      <c r="B114" s="93">
        <v>2920960</v>
      </c>
      <c r="C114" s="94">
        <v>6</v>
      </c>
      <c r="D114" s="95" t="s">
        <v>125</v>
      </c>
      <c r="E114" s="96" t="s">
        <v>128</v>
      </c>
      <c r="F114" s="97">
        <v>13911565219</v>
      </c>
      <c r="G114" s="105" t="s">
        <v>18</v>
      </c>
      <c r="H114" s="100"/>
      <c r="I114" s="100"/>
      <c r="L114" s="101">
        <v>4573001</v>
      </c>
      <c r="M114" s="102">
        <v>4.4386000000000002E-2</v>
      </c>
      <c r="N114" s="103">
        <f t="shared" si="1"/>
        <v>202977.22238600001</v>
      </c>
      <c r="O114" s="101">
        <v>792501</v>
      </c>
      <c r="P114" s="104">
        <v>5.96E-2</v>
      </c>
      <c r="Q114" s="104">
        <v>0.1618</v>
      </c>
      <c r="R114" s="97">
        <v>8</v>
      </c>
      <c r="S114" s="101">
        <v>1574669</v>
      </c>
      <c r="T114" s="101">
        <v>1319888</v>
      </c>
      <c r="U114" s="101">
        <v>25</v>
      </c>
      <c r="V114" s="101">
        <v>1652802</v>
      </c>
      <c r="W114" s="104">
        <v>0.92500000000000004</v>
      </c>
      <c r="X114" s="101">
        <v>4230026</v>
      </c>
    </row>
    <row r="115" spans="1:24" ht="14">
      <c r="A115" s="93" t="s">
        <v>314</v>
      </c>
      <c r="B115" s="93">
        <v>942755</v>
      </c>
      <c r="C115" s="94">
        <v>6</v>
      </c>
      <c r="D115" s="95" t="s">
        <v>125</v>
      </c>
      <c r="E115" s="96" t="s">
        <v>132</v>
      </c>
      <c r="F115" s="97">
        <v>15901213393</v>
      </c>
      <c r="G115" s="105"/>
      <c r="H115" s="100"/>
      <c r="I115" s="100"/>
      <c r="L115" s="101">
        <v>2130017</v>
      </c>
      <c r="M115" s="102">
        <v>0.17976400000000001</v>
      </c>
      <c r="N115" s="103">
        <f t="shared" si="1"/>
        <v>382900.37598800001</v>
      </c>
      <c r="O115" s="101">
        <v>850303</v>
      </c>
      <c r="P115" s="104">
        <v>7.3099999999999998E-2</v>
      </c>
      <c r="Q115" s="104">
        <v>0.309</v>
      </c>
      <c r="R115" s="97">
        <v>39</v>
      </c>
      <c r="S115" s="101">
        <v>1020713</v>
      </c>
      <c r="T115" s="101">
        <v>705313</v>
      </c>
      <c r="U115" s="101">
        <v>74</v>
      </c>
      <c r="V115" s="101">
        <v>928152</v>
      </c>
      <c r="W115" s="104">
        <v>0.92400000000000004</v>
      </c>
      <c r="X115" s="101">
        <v>1968136</v>
      </c>
    </row>
    <row r="116" spans="1:24" ht="14">
      <c r="A116" s="93" t="s">
        <v>315</v>
      </c>
      <c r="B116" s="93">
        <v>6574487</v>
      </c>
      <c r="C116" s="94">
        <v>6</v>
      </c>
      <c r="D116" s="95" t="s">
        <v>125</v>
      </c>
      <c r="E116" s="96" t="s">
        <v>130</v>
      </c>
      <c r="F116" s="97">
        <v>9011863351</v>
      </c>
      <c r="G116" s="105"/>
      <c r="H116" s="100"/>
      <c r="I116" s="100"/>
      <c r="L116" s="101">
        <v>4671730</v>
      </c>
      <c r="M116" s="102">
        <v>2.9375999999999999E-2</v>
      </c>
      <c r="N116" s="103">
        <f t="shared" si="1"/>
        <v>137236.74048000001</v>
      </c>
      <c r="O116" s="101">
        <v>560608</v>
      </c>
      <c r="P116" s="104">
        <v>3.4799999999999998E-2</v>
      </c>
      <c r="Q116" s="104">
        <v>0.71430000000000005</v>
      </c>
      <c r="R116" s="97">
        <v>11</v>
      </c>
      <c r="S116" s="101">
        <v>3689372</v>
      </c>
      <c r="T116" s="101">
        <v>1054106</v>
      </c>
      <c r="U116" s="101">
        <v>23</v>
      </c>
      <c r="V116" s="101">
        <v>3047710</v>
      </c>
      <c r="W116" s="104">
        <v>0.91600000000000004</v>
      </c>
      <c r="X116" s="101">
        <v>4279305</v>
      </c>
    </row>
    <row r="117" spans="1:24" ht="14">
      <c r="A117" s="93" t="s">
        <v>316</v>
      </c>
      <c r="B117" s="93">
        <v>49246269</v>
      </c>
      <c r="C117" s="94">
        <v>6</v>
      </c>
      <c r="D117" s="95" t="s">
        <v>125</v>
      </c>
      <c r="E117" s="96" t="s">
        <v>130</v>
      </c>
      <c r="F117" s="97">
        <v>18816408630</v>
      </c>
      <c r="G117" s="105"/>
      <c r="H117" s="100"/>
      <c r="I117" s="100"/>
      <c r="L117" s="101">
        <v>4862555</v>
      </c>
      <c r="M117" s="102">
        <v>2.4614E-2</v>
      </c>
      <c r="N117" s="103">
        <f t="shared" si="1"/>
        <v>119686.92877</v>
      </c>
      <c r="O117" s="101">
        <v>450759</v>
      </c>
      <c r="P117" s="104">
        <v>6.8699999999999997E-2</v>
      </c>
      <c r="Q117" s="104">
        <v>0.1777</v>
      </c>
      <c r="R117" s="97">
        <v>11</v>
      </c>
      <c r="S117" s="101">
        <v>977894</v>
      </c>
      <c r="T117" s="101">
        <v>804122</v>
      </c>
      <c r="U117" s="101">
        <v>20</v>
      </c>
      <c r="V117" s="101">
        <v>1124537</v>
      </c>
      <c r="W117" s="104">
        <v>0.91400000000000003</v>
      </c>
      <c r="X117" s="101">
        <v>4444375</v>
      </c>
    </row>
    <row r="118" spans="1:24" ht="14">
      <c r="A118" s="93" t="s">
        <v>317</v>
      </c>
      <c r="B118" s="93">
        <v>7596516</v>
      </c>
      <c r="C118" s="94">
        <v>6</v>
      </c>
      <c r="D118" s="95" t="s">
        <v>125</v>
      </c>
      <c r="E118" s="96" t="s">
        <v>208</v>
      </c>
      <c r="F118" s="97">
        <v>15058496507</v>
      </c>
      <c r="G118" s="105"/>
      <c r="H118" s="100"/>
      <c r="I118" s="100"/>
      <c r="L118" s="101">
        <v>1378547</v>
      </c>
      <c r="M118" s="102">
        <v>2.4743000000000001E-2</v>
      </c>
      <c r="N118" s="103">
        <f t="shared" si="1"/>
        <v>34109.388421000003</v>
      </c>
      <c r="O118" s="101">
        <v>110008</v>
      </c>
      <c r="P118" s="104">
        <v>0.28349999999999997</v>
      </c>
      <c r="Q118" s="104">
        <v>8.9200000000000002E-2</v>
      </c>
      <c r="R118" s="97">
        <v>4</v>
      </c>
      <c r="S118" s="101">
        <v>3764462</v>
      </c>
      <c r="T118" s="101">
        <v>3428672</v>
      </c>
      <c r="U118" s="101">
        <v>7</v>
      </c>
      <c r="V118" s="101">
        <v>2950245</v>
      </c>
      <c r="W118" s="104">
        <v>0.91</v>
      </c>
      <c r="X118" s="101">
        <v>1254478</v>
      </c>
    </row>
    <row r="119" spans="1:24" ht="14">
      <c r="A119" s="93" t="s">
        <v>318</v>
      </c>
      <c r="B119" s="93">
        <v>1575718735</v>
      </c>
      <c r="C119" s="94">
        <v>6</v>
      </c>
      <c r="D119" s="95" t="s">
        <v>125</v>
      </c>
      <c r="E119" s="96" t="s">
        <v>167</v>
      </c>
      <c r="F119" s="97">
        <v>13165990616</v>
      </c>
      <c r="G119" s="105"/>
      <c r="H119" s="100"/>
      <c r="I119" s="100"/>
      <c r="L119" s="101">
        <v>1638422</v>
      </c>
      <c r="M119" s="102">
        <v>1.5094E-2</v>
      </c>
      <c r="N119" s="103">
        <f t="shared" si="1"/>
        <v>24730.341668000001</v>
      </c>
      <c r="O119" s="101">
        <v>337843</v>
      </c>
      <c r="P119" s="104">
        <v>0.3901</v>
      </c>
      <c r="Q119" s="104">
        <v>0.1852</v>
      </c>
      <c r="R119" s="97">
        <v>12</v>
      </c>
      <c r="S119" s="101">
        <v>2358436</v>
      </c>
      <c r="T119" s="101">
        <v>1921689</v>
      </c>
      <c r="U119" s="101">
        <v>27</v>
      </c>
      <c r="V119" s="101">
        <v>1647597</v>
      </c>
      <c r="W119" s="104">
        <v>0.88500000000000001</v>
      </c>
      <c r="X119" s="101">
        <v>1450003</v>
      </c>
    </row>
    <row r="120" spans="1:24" ht="14">
      <c r="A120" s="93" t="s">
        <v>319</v>
      </c>
      <c r="B120" s="93">
        <v>285499073</v>
      </c>
      <c r="C120" s="94">
        <v>6</v>
      </c>
      <c r="D120" s="95" t="s">
        <v>125</v>
      </c>
      <c r="E120" s="96" t="s">
        <v>233</v>
      </c>
      <c r="F120" s="97">
        <v>13532931857</v>
      </c>
      <c r="G120" s="105" t="s">
        <v>184</v>
      </c>
      <c r="H120" s="100"/>
      <c r="I120" s="100"/>
      <c r="L120" s="101">
        <v>5114649</v>
      </c>
      <c r="M120" s="102">
        <v>2.9565999999999999E-2</v>
      </c>
      <c r="N120" s="103">
        <f t="shared" si="1"/>
        <v>151219.71233399998</v>
      </c>
      <c r="O120" s="101">
        <v>603017</v>
      </c>
      <c r="P120" s="104">
        <v>4.2799999999999998E-2</v>
      </c>
      <c r="Q120" s="104">
        <v>0.60740000000000005</v>
      </c>
      <c r="R120" s="97">
        <v>8</v>
      </c>
      <c r="S120" s="101">
        <v>2865053</v>
      </c>
      <c r="T120" s="101">
        <v>1124820</v>
      </c>
      <c r="U120" s="101">
        <v>14</v>
      </c>
      <c r="V120" s="101">
        <v>3204031</v>
      </c>
      <c r="W120" s="104">
        <v>0.88400000000000001</v>
      </c>
      <c r="X120" s="101">
        <v>4521350</v>
      </c>
    </row>
    <row r="121" spans="1:24" ht="14">
      <c r="A121" s="93" t="s">
        <v>320</v>
      </c>
      <c r="B121" s="93">
        <v>3957971</v>
      </c>
      <c r="C121" s="94">
        <v>6</v>
      </c>
      <c r="D121" s="95" t="s">
        <v>125</v>
      </c>
      <c r="E121" s="96" t="s">
        <v>321</v>
      </c>
      <c r="F121" s="97">
        <v>15024377524</v>
      </c>
      <c r="G121" s="105"/>
      <c r="H121" s="100"/>
      <c r="I121" s="100"/>
      <c r="L121" s="101">
        <v>5897966</v>
      </c>
      <c r="M121" s="102">
        <v>1.7587999999999999E-2</v>
      </c>
      <c r="N121" s="103">
        <f t="shared" si="1"/>
        <v>103733.42600799999</v>
      </c>
      <c r="O121" s="101">
        <v>727809</v>
      </c>
      <c r="P121" s="104">
        <v>4.87E-2</v>
      </c>
      <c r="Q121" s="104">
        <v>0.74419999999999997</v>
      </c>
      <c r="R121" s="97">
        <v>8</v>
      </c>
      <c r="S121" s="101">
        <v>5229524</v>
      </c>
      <c r="T121" s="101">
        <v>1337712</v>
      </c>
      <c r="U121" s="101">
        <v>15</v>
      </c>
      <c r="V121" s="101">
        <v>4786784</v>
      </c>
      <c r="W121" s="104">
        <v>0.878</v>
      </c>
      <c r="X121" s="101">
        <v>5178414</v>
      </c>
    </row>
    <row r="122" spans="1:24" ht="14">
      <c r="A122" s="93" t="s">
        <v>322</v>
      </c>
      <c r="B122" s="93">
        <v>730732</v>
      </c>
      <c r="C122" s="94">
        <v>5</v>
      </c>
      <c r="D122" s="95" t="s">
        <v>125</v>
      </c>
      <c r="E122" s="96" t="s">
        <v>208</v>
      </c>
      <c r="F122" s="97">
        <v>17717546764</v>
      </c>
      <c r="G122" s="105"/>
      <c r="H122" s="100"/>
      <c r="I122" s="100"/>
      <c r="L122" s="101">
        <v>4190927</v>
      </c>
      <c r="M122" s="102">
        <v>5.5828999999999997E-2</v>
      </c>
      <c r="N122" s="103">
        <f t="shared" si="1"/>
        <v>233975.26348299999</v>
      </c>
      <c r="O122" s="101">
        <v>1352412</v>
      </c>
      <c r="P122" s="104">
        <v>4.6800000000000001E-2</v>
      </c>
      <c r="Q122" s="104">
        <v>0.1111</v>
      </c>
      <c r="R122" s="97">
        <v>129</v>
      </c>
      <c r="S122" s="101">
        <v>151990</v>
      </c>
      <c r="T122" s="101">
        <v>135104</v>
      </c>
      <c r="U122" s="101">
        <v>213</v>
      </c>
      <c r="V122" s="101">
        <v>177598</v>
      </c>
      <c r="W122" s="104">
        <v>0.92300000000000004</v>
      </c>
      <c r="X122" s="101">
        <v>3868226</v>
      </c>
    </row>
    <row r="123" spans="1:24" ht="14">
      <c r="A123" s="93" t="s">
        <v>323</v>
      </c>
      <c r="B123" s="93">
        <v>14871346</v>
      </c>
      <c r="C123" s="94">
        <v>5</v>
      </c>
      <c r="D123" s="95" t="s">
        <v>125</v>
      </c>
      <c r="E123" s="96" t="s">
        <v>123</v>
      </c>
      <c r="F123" s="97">
        <v>15633081240</v>
      </c>
      <c r="G123" s="105"/>
      <c r="H123" s="100"/>
      <c r="I123" s="100"/>
      <c r="L123" s="101">
        <v>3745032</v>
      </c>
      <c r="M123" s="102">
        <v>2.4628000000000001E-2</v>
      </c>
      <c r="N123" s="103">
        <f t="shared" si="1"/>
        <v>92232.648096000004</v>
      </c>
      <c r="O123" s="101">
        <v>785708</v>
      </c>
      <c r="P123" s="104">
        <v>5.3900000000000003E-2</v>
      </c>
      <c r="Q123" s="104">
        <v>5.6599999999999998E-2</v>
      </c>
      <c r="R123" s="97">
        <v>19</v>
      </c>
      <c r="S123" s="101">
        <v>992446</v>
      </c>
      <c r="T123" s="101">
        <v>936270</v>
      </c>
      <c r="U123" s="101">
        <v>40</v>
      </c>
      <c r="V123" s="101">
        <v>1012133</v>
      </c>
      <c r="W123" s="104">
        <v>0.93100000000000005</v>
      </c>
      <c r="X123" s="101">
        <v>3486625</v>
      </c>
    </row>
    <row r="124" spans="1:24" ht="14">
      <c r="A124" s="93" t="s">
        <v>324</v>
      </c>
      <c r="B124" s="93">
        <v>27218150</v>
      </c>
      <c r="C124" s="94">
        <v>5</v>
      </c>
      <c r="D124" s="95" t="s">
        <v>125</v>
      </c>
      <c r="E124" s="96" t="s">
        <v>245</v>
      </c>
      <c r="F124" s="97">
        <v>15767256725</v>
      </c>
      <c r="G124" s="105"/>
      <c r="H124" s="100"/>
      <c r="I124" s="100"/>
      <c r="L124" s="101">
        <v>3879851</v>
      </c>
      <c r="M124" s="102">
        <v>4.2391999999999999E-2</v>
      </c>
      <c r="N124" s="103">
        <f t="shared" si="1"/>
        <v>164474.64359200001</v>
      </c>
      <c r="O124" s="101">
        <v>627760</v>
      </c>
      <c r="P124" s="104">
        <v>4.8399999999999999E-2</v>
      </c>
      <c r="Q124" s="104">
        <v>0.122</v>
      </c>
      <c r="R124" s="97">
        <v>19</v>
      </c>
      <c r="S124" s="101">
        <v>1097645</v>
      </c>
      <c r="T124" s="101">
        <v>963732</v>
      </c>
      <c r="U124" s="101">
        <v>35</v>
      </c>
      <c r="V124" s="101">
        <v>1109074</v>
      </c>
      <c r="W124" s="104">
        <v>0.92400000000000004</v>
      </c>
      <c r="X124" s="101">
        <v>3584982</v>
      </c>
    </row>
    <row r="125" spans="1:24" ht="14">
      <c r="A125" s="93" t="s">
        <v>325</v>
      </c>
      <c r="B125" s="93">
        <v>297786973</v>
      </c>
      <c r="C125" s="94">
        <v>5</v>
      </c>
      <c r="D125" s="95" t="s">
        <v>125</v>
      </c>
      <c r="E125" s="96" t="s">
        <v>130</v>
      </c>
      <c r="F125" s="97">
        <v>6303913720</v>
      </c>
      <c r="G125" s="105"/>
      <c r="H125" s="100"/>
      <c r="I125" s="100"/>
      <c r="L125" s="101">
        <v>2806808</v>
      </c>
      <c r="M125" s="102">
        <v>2.9614999999999999E-2</v>
      </c>
      <c r="N125" s="103">
        <f t="shared" si="1"/>
        <v>83123.618919999994</v>
      </c>
      <c r="O125" s="101">
        <v>391550</v>
      </c>
      <c r="P125" s="104">
        <v>0.12870000000000001</v>
      </c>
      <c r="Q125" s="104">
        <v>2.12E-2</v>
      </c>
      <c r="R125" s="97">
        <v>6</v>
      </c>
      <c r="S125" s="101">
        <v>1040622</v>
      </c>
      <c r="T125" s="101">
        <v>1018598</v>
      </c>
      <c r="U125" s="101">
        <v>10</v>
      </c>
      <c r="V125" s="101">
        <v>1478329</v>
      </c>
      <c r="W125" s="104">
        <v>0.91900000000000004</v>
      </c>
      <c r="X125" s="101">
        <v>2579457</v>
      </c>
    </row>
    <row r="126" spans="1:24" ht="14">
      <c r="A126" s="93" t="s">
        <v>326</v>
      </c>
      <c r="B126" s="93">
        <v>11646119</v>
      </c>
      <c r="C126" s="94">
        <v>5</v>
      </c>
      <c r="D126" s="95" t="s">
        <v>122</v>
      </c>
      <c r="E126" s="96" t="s">
        <v>130</v>
      </c>
      <c r="F126" s="97">
        <v>18222687201</v>
      </c>
      <c r="G126" s="105" t="s">
        <v>20</v>
      </c>
      <c r="H126" s="100"/>
      <c r="I126" s="100"/>
      <c r="L126" s="101">
        <v>2783142</v>
      </c>
      <c r="M126" s="102">
        <v>7.9946000000000003E-2</v>
      </c>
      <c r="N126" s="103">
        <f t="shared" si="1"/>
        <v>222501.070332</v>
      </c>
      <c r="O126" s="101">
        <v>430552</v>
      </c>
      <c r="P126" s="104">
        <v>5.7700000000000001E-2</v>
      </c>
      <c r="Q126" s="104">
        <v>3.5400000000000001E-2</v>
      </c>
      <c r="R126" s="97">
        <v>10</v>
      </c>
      <c r="S126" s="101">
        <v>1519721</v>
      </c>
      <c r="T126" s="101">
        <v>1465923</v>
      </c>
      <c r="U126" s="101">
        <v>18</v>
      </c>
      <c r="V126" s="101">
        <v>1745028</v>
      </c>
      <c r="W126" s="104">
        <v>0.91800000000000004</v>
      </c>
      <c r="X126" s="101">
        <v>2554924</v>
      </c>
    </row>
    <row r="127" spans="1:24" ht="14">
      <c r="A127" s="93" t="s">
        <v>327</v>
      </c>
      <c r="B127" s="93">
        <v>454719565</v>
      </c>
      <c r="C127" s="94">
        <v>5</v>
      </c>
      <c r="D127" s="95" t="s">
        <v>125</v>
      </c>
      <c r="E127" s="96" t="s">
        <v>328</v>
      </c>
      <c r="F127" s="97">
        <v>18755190139</v>
      </c>
      <c r="G127" s="105"/>
      <c r="H127" s="100"/>
      <c r="I127" s="100"/>
      <c r="L127" s="101">
        <v>3912234</v>
      </c>
      <c r="M127" s="102">
        <v>6.3108999999999998E-2</v>
      </c>
      <c r="N127" s="103">
        <f t="shared" si="1"/>
        <v>246897.175506</v>
      </c>
      <c r="O127" s="101">
        <v>784403</v>
      </c>
      <c r="P127" s="104">
        <v>2.63E-2</v>
      </c>
      <c r="Q127" s="104">
        <v>0.11169999999999999</v>
      </c>
      <c r="R127" s="97">
        <v>22</v>
      </c>
      <c r="S127" s="101">
        <v>980633</v>
      </c>
      <c r="T127" s="101">
        <v>871096</v>
      </c>
      <c r="U127" s="101">
        <v>43</v>
      </c>
      <c r="V127" s="101">
        <v>936875</v>
      </c>
      <c r="W127" s="104">
        <v>0.91500000000000004</v>
      </c>
      <c r="X127" s="101">
        <v>3579694</v>
      </c>
    </row>
    <row r="128" spans="1:24" ht="14">
      <c r="A128" s="93" t="s">
        <v>329</v>
      </c>
      <c r="B128" s="93">
        <v>540564177</v>
      </c>
      <c r="C128" s="94">
        <v>5</v>
      </c>
      <c r="D128" s="95" t="s">
        <v>122</v>
      </c>
      <c r="E128" s="96" t="s">
        <v>253</v>
      </c>
      <c r="F128" s="97">
        <v>15270884897</v>
      </c>
      <c r="G128" s="105" t="s">
        <v>22</v>
      </c>
      <c r="H128" s="100"/>
      <c r="I128" s="100"/>
      <c r="L128" s="101">
        <v>2663188</v>
      </c>
      <c r="M128" s="102">
        <v>6.8138000000000004E-2</v>
      </c>
      <c r="N128" s="103">
        <f t="shared" si="1"/>
        <v>181464.30394400001</v>
      </c>
      <c r="O128" s="101">
        <v>751019</v>
      </c>
      <c r="P128" s="104">
        <v>9.2999999999999999E-2</v>
      </c>
      <c r="Q128" s="104">
        <v>0.30299999999999999</v>
      </c>
      <c r="R128" s="97">
        <v>23</v>
      </c>
      <c r="S128" s="101">
        <v>1116675</v>
      </c>
      <c r="T128" s="101">
        <v>778289</v>
      </c>
      <c r="U128" s="101">
        <v>48</v>
      </c>
      <c r="V128" s="101">
        <v>862553</v>
      </c>
      <c r="W128" s="104">
        <v>0.91300000000000003</v>
      </c>
      <c r="X128" s="101">
        <v>2431491</v>
      </c>
    </row>
    <row r="129" spans="1:24" ht="14">
      <c r="A129" s="93" t="s">
        <v>21</v>
      </c>
      <c r="B129" s="93">
        <v>476704454</v>
      </c>
      <c r="C129" s="94">
        <v>5</v>
      </c>
      <c r="D129" s="95" t="s">
        <v>125</v>
      </c>
      <c r="E129" s="96" t="s">
        <v>128</v>
      </c>
      <c r="F129" s="97">
        <v>13290930972</v>
      </c>
      <c r="G129" s="105" t="s">
        <v>20</v>
      </c>
      <c r="H129" s="100"/>
      <c r="I129" s="100"/>
      <c r="L129" s="101">
        <v>4188344</v>
      </c>
      <c r="M129" s="102">
        <v>4.8235E-2</v>
      </c>
      <c r="N129" s="103">
        <f t="shared" si="1"/>
        <v>202024.77283999999</v>
      </c>
      <c r="O129" s="101">
        <v>904263</v>
      </c>
      <c r="P129" s="104">
        <v>4.5199999999999997E-2</v>
      </c>
      <c r="Q129" s="104">
        <v>0.2051</v>
      </c>
      <c r="R129" s="97">
        <v>12</v>
      </c>
      <c r="S129" s="101">
        <v>1495675</v>
      </c>
      <c r="T129" s="101">
        <v>1188912</v>
      </c>
      <c r="U129" s="101">
        <v>26</v>
      </c>
      <c r="V129" s="101">
        <v>1472031</v>
      </c>
      <c r="W129" s="104">
        <v>0.90700000000000003</v>
      </c>
      <c r="X129" s="101">
        <v>3798828</v>
      </c>
    </row>
    <row r="130" spans="1:24" ht="14">
      <c r="A130" s="93" t="s">
        <v>330</v>
      </c>
      <c r="B130" s="93">
        <v>474702359</v>
      </c>
      <c r="C130" s="94">
        <v>5</v>
      </c>
      <c r="D130" s="95" t="s">
        <v>125</v>
      </c>
      <c r="E130" s="96" t="s">
        <v>154</v>
      </c>
      <c r="F130" s="97">
        <v>18138244280</v>
      </c>
      <c r="G130" s="106" t="s">
        <v>137</v>
      </c>
      <c r="H130" s="99" t="s">
        <v>155</v>
      </c>
      <c r="I130" s="100"/>
      <c r="J130" t="s">
        <v>331</v>
      </c>
      <c r="K130" t="s">
        <v>332</v>
      </c>
      <c r="L130" s="101">
        <v>2813344</v>
      </c>
      <c r="M130" s="102">
        <v>7.3733999999999994E-2</v>
      </c>
      <c r="N130" s="103">
        <f t="shared" ref="N130:N193" si="2">L130*M130</f>
        <v>207439.10649599999</v>
      </c>
      <c r="O130" s="101">
        <v>715715</v>
      </c>
      <c r="P130" s="104">
        <v>0.42180000000000001</v>
      </c>
      <c r="Q130" s="104">
        <v>0.12379999999999999</v>
      </c>
      <c r="R130" s="97">
        <v>14</v>
      </c>
      <c r="S130" s="101">
        <v>1832356</v>
      </c>
      <c r="T130" s="101">
        <v>1605510</v>
      </c>
      <c r="U130" s="101">
        <v>17</v>
      </c>
      <c r="V130" s="101">
        <v>1674478</v>
      </c>
      <c r="W130" s="104">
        <v>0.90100000000000002</v>
      </c>
      <c r="X130" s="101">
        <v>2534823</v>
      </c>
    </row>
    <row r="131" spans="1:24" ht="14">
      <c r="A131" s="93" t="s">
        <v>333</v>
      </c>
      <c r="B131" s="93">
        <v>130636947</v>
      </c>
      <c r="C131" s="94">
        <v>5</v>
      </c>
      <c r="D131" s="95" t="s">
        <v>125</v>
      </c>
      <c r="E131" s="96" t="s">
        <v>276</v>
      </c>
      <c r="F131" s="97">
        <v>17864890113</v>
      </c>
      <c r="G131" s="105" t="s">
        <v>184</v>
      </c>
      <c r="H131" s="100"/>
      <c r="I131" s="100"/>
      <c r="J131" t="s">
        <v>334</v>
      </c>
      <c r="L131" s="101">
        <v>2986126</v>
      </c>
      <c r="M131" s="102">
        <v>1.7972999999999999E-2</v>
      </c>
      <c r="N131" s="103">
        <f t="shared" si="2"/>
        <v>53669.642597999999</v>
      </c>
      <c r="O131" s="101">
        <v>583788</v>
      </c>
      <c r="P131" s="104">
        <v>0.21729999999999999</v>
      </c>
      <c r="Q131" s="104">
        <v>0.5</v>
      </c>
      <c r="R131" s="97">
        <v>8</v>
      </c>
      <c r="S131" s="101">
        <v>2196219</v>
      </c>
      <c r="T131" s="101">
        <v>1098110</v>
      </c>
      <c r="U131" s="101">
        <v>14</v>
      </c>
      <c r="V131" s="101">
        <v>2166271</v>
      </c>
      <c r="W131" s="104">
        <v>0.89900000000000002</v>
      </c>
      <c r="X131" s="101">
        <v>2684527</v>
      </c>
    </row>
    <row r="132" spans="1:24" ht="14">
      <c r="A132" s="93" t="s">
        <v>335</v>
      </c>
      <c r="B132" s="93">
        <v>1372433</v>
      </c>
      <c r="C132" s="94">
        <v>5</v>
      </c>
      <c r="D132" s="95" t="s">
        <v>125</v>
      </c>
      <c r="E132" s="96" t="s">
        <v>233</v>
      </c>
      <c r="F132" s="97">
        <v>15821068426</v>
      </c>
      <c r="G132" s="105"/>
      <c r="H132" s="100"/>
      <c r="I132" s="100"/>
      <c r="L132" s="101">
        <v>2781926</v>
      </c>
      <c r="M132" s="102">
        <v>2.3928000000000001E-2</v>
      </c>
      <c r="N132" s="103">
        <f t="shared" si="2"/>
        <v>66565.925327999998</v>
      </c>
      <c r="O132" s="101">
        <v>458183</v>
      </c>
      <c r="P132" s="104">
        <v>0.112</v>
      </c>
      <c r="Q132" s="104">
        <v>0.38950000000000001</v>
      </c>
      <c r="R132" s="97">
        <v>10</v>
      </c>
      <c r="S132" s="101">
        <v>1570932</v>
      </c>
      <c r="T132" s="101">
        <v>959054</v>
      </c>
      <c r="U132" s="101">
        <v>20</v>
      </c>
      <c r="V132" s="101">
        <v>1394595</v>
      </c>
      <c r="W132" s="104">
        <v>0.89600000000000002</v>
      </c>
      <c r="X132" s="101">
        <v>2492606</v>
      </c>
    </row>
    <row r="133" spans="1:24" ht="14">
      <c r="A133" s="93" t="s">
        <v>336</v>
      </c>
      <c r="B133" s="93">
        <v>10558098</v>
      </c>
      <c r="C133" s="94">
        <v>5</v>
      </c>
      <c r="D133" s="95" t="s">
        <v>125</v>
      </c>
      <c r="E133" s="96" t="s">
        <v>147</v>
      </c>
      <c r="F133" s="97">
        <v>17683185331</v>
      </c>
      <c r="G133" s="105"/>
      <c r="H133" s="100"/>
      <c r="I133" s="100"/>
      <c r="L133" s="101">
        <v>4603210</v>
      </c>
      <c r="M133" s="102">
        <v>3.1260999999999997E-2</v>
      </c>
      <c r="N133" s="103">
        <f t="shared" si="2"/>
        <v>143900.94780999998</v>
      </c>
      <c r="O133" s="101">
        <v>803720</v>
      </c>
      <c r="P133" s="104">
        <v>0.1391</v>
      </c>
      <c r="Q133" s="104">
        <v>0.1993</v>
      </c>
      <c r="R133" s="97">
        <v>13</v>
      </c>
      <c r="S133" s="101">
        <v>1511054</v>
      </c>
      <c r="T133" s="101">
        <v>1209901</v>
      </c>
      <c r="U133" s="101">
        <v>26</v>
      </c>
      <c r="V133" s="101">
        <v>1310898</v>
      </c>
      <c r="W133" s="104">
        <v>0.88700000000000001</v>
      </c>
      <c r="X133" s="101">
        <v>4083047</v>
      </c>
    </row>
    <row r="134" spans="1:24" ht="14">
      <c r="A134" s="93" t="s">
        <v>80</v>
      </c>
      <c r="B134" s="93">
        <v>3066511</v>
      </c>
      <c r="C134" s="94">
        <v>5</v>
      </c>
      <c r="D134" s="95" t="s">
        <v>122</v>
      </c>
      <c r="E134" s="96" t="s">
        <v>337</v>
      </c>
      <c r="F134" s="97">
        <v>15270018853</v>
      </c>
      <c r="G134" s="105" t="s">
        <v>18</v>
      </c>
      <c r="H134" s="100"/>
      <c r="I134" s="100"/>
      <c r="L134" s="101">
        <v>4495308</v>
      </c>
      <c r="M134" s="102">
        <v>1.038E-2</v>
      </c>
      <c r="N134" s="103">
        <f t="shared" si="2"/>
        <v>46661.297040000005</v>
      </c>
      <c r="O134" s="101">
        <v>903107</v>
      </c>
      <c r="P134" s="104">
        <v>0.22889999999999999</v>
      </c>
      <c r="Q134" s="104">
        <v>0.6381</v>
      </c>
      <c r="R134" s="97">
        <v>22</v>
      </c>
      <c r="S134" s="101">
        <v>2620953</v>
      </c>
      <c r="T134" s="101">
        <v>948523</v>
      </c>
      <c r="U134" s="101">
        <v>35</v>
      </c>
      <c r="V134" s="101">
        <v>2442983</v>
      </c>
      <c r="W134" s="104">
        <v>0.876</v>
      </c>
      <c r="X134" s="101">
        <v>3937890</v>
      </c>
    </row>
    <row r="135" spans="1:24" ht="14">
      <c r="A135" s="93" t="s">
        <v>338</v>
      </c>
      <c r="B135" s="93">
        <v>23630128</v>
      </c>
      <c r="C135" s="94">
        <v>5</v>
      </c>
      <c r="D135" s="95" t="s">
        <v>122</v>
      </c>
      <c r="E135" s="96" t="s">
        <v>339</v>
      </c>
      <c r="F135" s="97">
        <v>15070878316</v>
      </c>
      <c r="G135" s="105" t="s">
        <v>137</v>
      </c>
      <c r="H135" s="100"/>
      <c r="I135" s="100"/>
      <c r="L135" s="101">
        <v>10989295</v>
      </c>
      <c r="M135" s="102">
        <v>4.8257000000000001E-2</v>
      </c>
      <c r="N135" s="103">
        <f t="shared" si="2"/>
        <v>530310.40881499997</v>
      </c>
      <c r="O135" s="101">
        <v>906617</v>
      </c>
      <c r="P135" s="104">
        <v>1.9199999999999998E-2</v>
      </c>
      <c r="Q135" s="104">
        <v>1.41E-2</v>
      </c>
      <c r="R135" s="97">
        <v>0</v>
      </c>
      <c r="S135" s="101">
        <v>0</v>
      </c>
      <c r="T135" s="101">
        <v>0</v>
      </c>
      <c r="U135" s="101">
        <v>12</v>
      </c>
      <c r="V135" s="101">
        <v>9531418</v>
      </c>
      <c r="W135" s="104">
        <v>0.84199999999999997</v>
      </c>
      <c r="X135" s="101">
        <v>9252986</v>
      </c>
    </row>
    <row r="136" spans="1:24" ht="14">
      <c r="A136" s="93" t="s">
        <v>340</v>
      </c>
      <c r="B136" s="93">
        <v>483879799</v>
      </c>
      <c r="C136" s="94">
        <v>5</v>
      </c>
      <c r="D136" s="95" t="s">
        <v>125</v>
      </c>
      <c r="E136" s="96" t="s">
        <v>341</v>
      </c>
      <c r="F136" s="97">
        <v>17316567745</v>
      </c>
      <c r="G136" s="105"/>
      <c r="H136" s="100"/>
      <c r="I136" s="100"/>
      <c r="L136" s="101">
        <v>5036184</v>
      </c>
      <c r="M136" s="102">
        <v>2.568E-3</v>
      </c>
      <c r="N136" s="103">
        <f t="shared" si="2"/>
        <v>12932.920512000001</v>
      </c>
      <c r="O136" s="101">
        <v>409442</v>
      </c>
      <c r="P136" s="104">
        <v>0.47439999999999999</v>
      </c>
      <c r="Q136" s="104">
        <v>0.1215</v>
      </c>
      <c r="R136" s="97">
        <v>17</v>
      </c>
      <c r="S136" s="101">
        <v>850096</v>
      </c>
      <c r="T136" s="101">
        <v>746809</v>
      </c>
      <c r="U136" s="101">
        <v>44</v>
      </c>
      <c r="V136" s="101">
        <v>894223</v>
      </c>
      <c r="W136" s="104">
        <v>0.88100000000000001</v>
      </c>
      <c r="X136" s="101">
        <v>4436878</v>
      </c>
    </row>
    <row r="137" spans="1:24" ht="14">
      <c r="A137" s="93" t="s">
        <v>86</v>
      </c>
      <c r="B137" s="93">
        <v>483311105</v>
      </c>
      <c r="C137" s="94">
        <v>5</v>
      </c>
      <c r="D137" s="95" t="s">
        <v>125</v>
      </c>
      <c r="E137" s="96" t="s">
        <v>123</v>
      </c>
      <c r="F137" s="97">
        <v>13265743839</v>
      </c>
      <c r="G137" s="105" t="s">
        <v>20</v>
      </c>
      <c r="H137" s="100"/>
      <c r="I137" s="100"/>
      <c r="L137" s="101">
        <v>2579335</v>
      </c>
      <c r="M137" s="102">
        <v>2.9943000000000001E-2</v>
      </c>
      <c r="N137" s="103">
        <f t="shared" si="2"/>
        <v>77233.027904999995</v>
      </c>
      <c r="O137" s="101">
        <v>763999</v>
      </c>
      <c r="P137" s="104">
        <v>0.13150000000000001</v>
      </c>
      <c r="Q137" s="104">
        <v>0.2165</v>
      </c>
      <c r="R137" s="97">
        <v>24</v>
      </c>
      <c r="S137" s="101">
        <v>1050411</v>
      </c>
      <c r="T137" s="101">
        <v>822997</v>
      </c>
      <c r="U137" s="101">
        <v>44</v>
      </c>
      <c r="V137" s="101">
        <v>944147</v>
      </c>
      <c r="W137" s="104">
        <v>0.93500000000000005</v>
      </c>
      <c r="X137" s="101">
        <v>2411678</v>
      </c>
    </row>
    <row r="138" spans="1:24" ht="14">
      <c r="A138" s="93" t="s">
        <v>342</v>
      </c>
      <c r="B138" s="93">
        <v>1885078</v>
      </c>
      <c r="C138" s="94">
        <v>5</v>
      </c>
      <c r="D138" s="95" t="s">
        <v>125</v>
      </c>
      <c r="E138" s="97">
        <v>0</v>
      </c>
      <c r="F138" s="97">
        <v>426270612</v>
      </c>
      <c r="G138" s="105"/>
      <c r="H138" s="100"/>
      <c r="I138" s="100"/>
      <c r="L138" s="101">
        <v>2252397</v>
      </c>
      <c r="M138" s="102">
        <v>6.6956000000000002E-2</v>
      </c>
      <c r="N138" s="103">
        <f t="shared" si="2"/>
        <v>150811.49353199999</v>
      </c>
      <c r="O138" s="101">
        <v>516700</v>
      </c>
      <c r="P138" s="104">
        <v>9.74E-2</v>
      </c>
      <c r="Q138" s="104">
        <v>0.1096</v>
      </c>
      <c r="R138" s="97">
        <v>5</v>
      </c>
      <c r="S138" s="101">
        <v>1171662</v>
      </c>
      <c r="T138" s="101">
        <v>1043248</v>
      </c>
      <c r="U138" s="101">
        <v>12</v>
      </c>
      <c r="V138" s="101">
        <v>1043848</v>
      </c>
      <c r="W138" s="104">
        <v>0.93300000000000005</v>
      </c>
      <c r="X138" s="101">
        <v>2101486</v>
      </c>
    </row>
    <row r="139" spans="1:24" ht="14">
      <c r="A139" s="93" t="s">
        <v>343</v>
      </c>
      <c r="B139" s="93">
        <v>37029661</v>
      </c>
      <c r="C139" s="94">
        <v>5</v>
      </c>
      <c r="D139" s="95" t="s">
        <v>125</v>
      </c>
      <c r="E139" s="96" t="s">
        <v>224</v>
      </c>
      <c r="F139" s="97">
        <v>13601038520</v>
      </c>
      <c r="G139" s="105"/>
      <c r="H139" s="100"/>
      <c r="I139" s="100"/>
      <c r="L139" s="101">
        <v>1827777</v>
      </c>
      <c r="M139" s="102">
        <v>5.5948999999999999E-2</v>
      </c>
      <c r="N139" s="103">
        <f t="shared" si="2"/>
        <v>102262.295373</v>
      </c>
      <c r="O139" s="101">
        <v>489479</v>
      </c>
      <c r="P139" s="104">
        <v>0.19109999999999999</v>
      </c>
      <c r="Q139" s="104">
        <v>1.23E-2</v>
      </c>
      <c r="R139" s="97">
        <v>9</v>
      </c>
      <c r="S139" s="101">
        <v>1674941</v>
      </c>
      <c r="T139" s="101">
        <v>1654263</v>
      </c>
      <c r="U139" s="101">
        <v>19</v>
      </c>
      <c r="V139" s="101">
        <v>1561172</v>
      </c>
      <c r="W139" s="104">
        <v>0.92400000000000004</v>
      </c>
      <c r="X139" s="101">
        <v>1688866</v>
      </c>
    </row>
    <row r="140" spans="1:24" ht="14">
      <c r="A140" s="93" t="s">
        <v>344</v>
      </c>
      <c r="B140" s="93">
        <v>7481602</v>
      </c>
      <c r="C140" s="94">
        <v>5</v>
      </c>
      <c r="D140" s="95" t="s">
        <v>122</v>
      </c>
      <c r="E140" s="96" t="s">
        <v>130</v>
      </c>
      <c r="F140" s="97">
        <v>18092283228</v>
      </c>
      <c r="G140" s="106" t="s">
        <v>137</v>
      </c>
      <c r="H140" s="99" t="s">
        <v>155</v>
      </c>
      <c r="I140" s="100"/>
      <c r="J140" t="s">
        <v>345</v>
      </c>
      <c r="K140" t="s">
        <v>346</v>
      </c>
      <c r="L140" s="101">
        <v>2297463</v>
      </c>
      <c r="M140" s="102">
        <v>7.9718999999999998E-2</v>
      </c>
      <c r="N140" s="103">
        <f t="shared" si="2"/>
        <v>183151.45289700001</v>
      </c>
      <c r="O140" s="101">
        <v>403435</v>
      </c>
      <c r="P140" s="104">
        <v>1.43E-2</v>
      </c>
      <c r="Q140" s="104">
        <v>5.3600000000000002E-2</v>
      </c>
      <c r="R140" s="97">
        <v>10</v>
      </c>
      <c r="S140" s="101">
        <v>1280952</v>
      </c>
      <c r="T140" s="101">
        <v>1212293</v>
      </c>
      <c r="U140" s="101">
        <v>13</v>
      </c>
      <c r="V140" s="101">
        <v>1790059</v>
      </c>
      <c r="W140" s="104">
        <v>0.91700000000000004</v>
      </c>
      <c r="X140" s="101">
        <v>2106774</v>
      </c>
    </row>
    <row r="141" spans="1:24" ht="14">
      <c r="A141" s="93" t="s">
        <v>347</v>
      </c>
      <c r="B141" s="93">
        <v>23604445</v>
      </c>
      <c r="C141" s="94">
        <v>5</v>
      </c>
      <c r="D141" s="95" t="s">
        <v>125</v>
      </c>
      <c r="E141" s="96" t="s">
        <v>147</v>
      </c>
      <c r="F141" s="97">
        <v>18758231831</v>
      </c>
      <c r="G141" s="105"/>
      <c r="H141" s="100"/>
      <c r="I141" s="100"/>
      <c r="L141" s="101">
        <v>2429876</v>
      </c>
      <c r="M141" s="102">
        <v>2.4072E-2</v>
      </c>
      <c r="N141" s="103">
        <f t="shared" si="2"/>
        <v>58491.975072000001</v>
      </c>
      <c r="O141" s="101">
        <v>623992</v>
      </c>
      <c r="P141" s="104">
        <v>0.34179999999999999</v>
      </c>
      <c r="Q141" s="104">
        <v>1E-3</v>
      </c>
      <c r="R141" s="97">
        <v>29</v>
      </c>
      <c r="S141" s="101">
        <v>901446</v>
      </c>
      <c r="T141" s="101">
        <v>900545</v>
      </c>
      <c r="U141" s="101">
        <v>48</v>
      </c>
      <c r="V141" s="101">
        <v>1034930</v>
      </c>
      <c r="W141" s="104">
        <v>0.91600000000000004</v>
      </c>
      <c r="X141" s="101">
        <v>2225766</v>
      </c>
    </row>
    <row r="142" spans="1:24" ht="14">
      <c r="A142" s="93" t="s">
        <v>348</v>
      </c>
      <c r="B142" s="93">
        <v>404216060</v>
      </c>
      <c r="C142" s="94">
        <v>5</v>
      </c>
      <c r="D142" s="95" t="s">
        <v>122</v>
      </c>
      <c r="E142" s="96" t="s">
        <v>194</v>
      </c>
      <c r="F142" s="97">
        <v>13580469578</v>
      </c>
      <c r="G142" s="105" t="s">
        <v>26</v>
      </c>
      <c r="H142" s="99" t="s">
        <v>155</v>
      </c>
      <c r="I142" s="100" t="s">
        <v>168</v>
      </c>
      <c r="J142" t="s">
        <v>349</v>
      </c>
      <c r="L142" s="101">
        <v>2308946</v>
      </c>
      <c r="M142" s="102">
        <v>3.4179000000000001E-2</v>
      </c>
      <c r="N142" s="103">
        <f t="shared" si="2"/>
        <v>78917.465334000008</v>
      </c>
      <c r="O142" s="101">
        <v>447936</v>
      </c>
      <c r="P142" s="104">
        <v>0.1537</v>
      </c>
      <c r="Q142" s="104">
        <v>0.37969999999999998</v>
      </c>
      <c r="R142" s="97">
        <v>5</v>
      </c>
      <c r="S142" s="101">
        <v>1739420</v>
      </c>
      <c r="T142" s="101">
        <v>1078881</v>
      </c>
      <c r="U142" s="101">
        <v>10</v>
      </c>
      <c r="V142" s="101">
        <v>1441494</v>
      </c>
      <c r="W142" s="104">
        <v>0.90800000000000003</v>
      </c>
      <c r="X142" s="101">
        <v>2096523</v>
      </c>
    </row>
    <row r="143" spans="1:24" ht="14">
      <c r="A143" s="93" t="s">
        <v>350</v>
      </c>
      <c r="B143" s="93">
        <v>632887</v>
      </c>
      <c r="C143" s="94">
        <v>5</v>
      </c>
      <c r="D143" s="95" t="s">
        <v>125</v>
      </c>
      <c r="E143" s="96" t="s">
        <v>341</v>
      </c>
      <c r="F143" s="97">
        <v>18987477645</v>
      </c>
      <c r="G143" s="105"/>
      <c r="H143" s="100"/>
      <c r="I143" s="100"/>
      <c r="L143" s="101">
        <v>2359493</v>
      </c>
      <c r="M143" s="102">
        <v>2.2620999999999999E-2</v>
      </c>
      <c r="N143" s="103">
        <f t="shared" si="2"/>
        <v>53374.091152999994</v>
      </c>
      <c r="O143" s="101">
        <v>513898</v>
      </c>
      <c r="P143" s="104">
        <v>0.2107</v>
      </c>
      <c r="Q143" s="104">
        <v>0.47399999999999998</v>
      </c>
      <c r="R143" s="97">
        <v>15</v>
      </c>
      <c r="S143" s="101">
        <v>3198063</v>
      </c>
      <c r="T143" s="101">
        <v>1682181</v>
      </c>
      <c r="U143" s="101">
        <v>27</v>
      </c>
      <c r="V143" s="101">
        <v>2728535</v>
      </c>
      <c r="W143" s="104">
        <v>0.89200000000000002</v>
      </c>
      <c r="X143" s="101">
        <v>2104668</v>
      </c>
    </row>
    <row r="144" spans="1:24" ht="14">
      <c r="A144" s="93" t="s">
        <v>351</v>
      </c>
      <c r="B144" s="93">
        <v>1711522882</v>
      </c>
      <c r="C144" s="94">
        <v>5</v>
      </c>
      <c r="D144" s="95" t="s">
        <v>125</v>
      </c>
      <c r="E144" s="96" t="s">
        <v>276</v>
      </c>
      <c r="F144" s="97">
        <v>2392332837</v>
      </c>
      <c r="G144" s="105"/>
      <c r="H144" s="100"/>
      <c r="I144" s="100"/>
      <c r="L144" s="101">
        <v>2505524</v>
      </c>
      <c r="M144" s="102">
        <v>2.3484000000000001E-2</v>
      </c>
      <c r="N144" s="103">
        <f t="shared" si="2"/>
        <v>58839.725616000003</v>
      </c>
      <c r="O144" s="101">
        <v>345762</v>
      </c>
      <c r="P144" s="104">
        <v>0.159</v>
      </c>
      <c r="Q144" s="104">
        <v>0.42009999999999997</v>
      </c>
      <c r="R144" s="97">
        <v>7</v>
      </c>
      <c r="S144" s="101">
        <v>2204491</v>
      </c>
      <c r="T144" s="101">
        <v>1278384</v>
      </c>
      <c r="U144" s="101">
        <v>17</v>
      </c>
      <c r="V144" s="101">
        <v>2284156</v>
      </c>
      <c r="W144" s="104">
        <v>0.89</v>
      </c>
      <c r="X144" s="101">
        <v>2229916</v>
      </c>
    </row>
    <row r="145" spans="1:24" ht="14">
      <c r="A145" s="93" t="s">
        <v>352</v>
      </c>
      <c r="B145" s="93">
        <v>698029620</v>
      </c>
      <c r="C145" s="94">
        <v>5</v>
      </c>
      <c r="D145" s="95" t="s">
        <v>122</v>
      </c>
      <c r="E145" s="96" t="s">
        <v>253</v>
      </c>
      <c r="F145" s="97">
        <v>15311640637</v>
      </c>
      <c r="G145" s="105" t="s">
        <v>22</v>
      </c>
      <c r="H145" s="100"/>
      <c r="I145" s="100"/>
      <c r="L145" s="101">
        <v>2178236</v>
      </c>
      <c r="M145" s="102">
        <v>5.6807999999999997E-2</v>
      </c>
      <c r="N145" s="103">
        <f t="shared" si="2"/>
        <v>123741.230688</v>
      </c>
      <c r="O145" s="101">
        <v>491846</v>
      </c>
      <c r="P145" s="104">
        <v>2.4E-2</v>
      </c>
      <c r="Q145" s="104">
        <v>2.9899999999999999E-2</v>
      </c>
      <c r="R145" s="97">
        <v>37</v>
      </c>
      <c r="S145" s="101">
        <v>916555</v>
      </c>
      <c r="T145" s="101">
        <v>889150</v>
      </c>
      <c r="U145" s="101">
        <v>78</v>
      </c>
      <c r="V145" s="101">
        <v>945894</v>
      </c>
      <c r="W145" s="104">
        <v>0.88700000000000001</v>
      </c>
      <c r="X145" s="101">
        <v>1932095</v>
      </c>
    </row>
    <row r="146" spans="1:24" ht="14">
      <c r="A146" s="93" t="s">
        <v>353</v>
      </c>
      <c r="B146" s="93">
        <v>86439234</v>
      </c>
      <c r="C146" s="94">
        <v>5</v>
      </c>
      <c r="D146" s="95" t="s">
        <v>125</v>
      </c>
      <c r="E146" s="96" t="s">
        <v>167</v>
      </c>
      <c r="F146" s="97">
        <v>18757326004</v>
      </c>
      <c r="G146" s="105"/>
      <c r="H146" s="100"/>
      <c r="I146" s="100"/>
      <c r="L146" s="101">
        <v>2389233</v>
      </c>
      <c r="M146" s="102">
        <v>5.9381000000000003E-2</v>
      </c>
      <c r="N146" s="103">
        <f t="shared" si="2"/>
        <v>141875.044773</v>
      </c>
      <c r="O146" s="101">
        <v>566965</v>
      </c>
      <c r="P146" s="104">
        <v>0.18340000000000001</v>
      </c>
      <c r="Q146" s="104">
        <v>0.55020000000000002</v>
      </c>
      <c r="R146" s="97">
        <v>15</v>
      </c>
      <c r="S146" s="101">
        <v>2026249</v>
      </c>
      <c r="T146" s="101">
        <v>911407</v>
      </c>
      <c r="U146" s="101">
        <v>31</v>
      </c>
      <c r="V146" s="101">
        <v>1688198</v>
      </c>
      <c r="W146" s="104">
        <v>0.86399999999999999</v>
      </c>
      <c r="X146" s="101">
        <v>2064297</v>
      </c>
    </row>
    <row r="147" spans="1:24" ht="14">
      <c r="A147" s="93" t="s">
        <v>354</v>
      </c>
      <c r="B147" s="93">
        <v>30502823</v>
      </c>
      <c r="C147" s="94">
        <v>5</v>
      </c>
      <c r="D147" s="95" t="s">
        <v>125</v>
      </c>
      <c r="E147" s="96" t="s">
        <v>208</v>
      </c>
      <c r="F147" s="97">
        <v>17737615718</v>
      </c>
      <c r="G147" s="105"/>
      <c r="H147" s="100"/>
      <c r="I147" s="100"/>
      <c r="L147" s="101">
        <v>2071175</v>
      </c>
      <c r="M147" s="102">
        <v>3.7106E-2</v>
      </c>
      <c r="N147" s="103">
        <f t="shared" si="2"/>
        <v>76853.019549999997</v>
      </c>
      <c r="O147" s="101">
        <v>567088</v>
      </c>
      <c r="P147" s="104">
        <v>0.23300000000000001</v>
      </c>
      <c r="Q147" s="104">
        <v>0.15790000000000001</v>
      </c>
      <c r="R147" s="97">
        <v>32</v>
      </c>
      <c r="S147" s="101">
        <v>876479</v>
      </c>
      <c r="T147" s="101">
        <v>738088</v>
      </c>
      <c r="U147" s="101">
        <v>53</v>
      </c>
      <c r="V147" s="101">
        <v>973582</v>
      </c>
      <c r="W147" s="104">
        <v>0.84499999999999997</v>
      </c>
      <c r="X147" s="101">
        <v>1750143</v>
      </c>
    </row>
    <row r="148" spans="1:24" ht="14">
      <c r="A148" s="93" t="s">
        <v>355</v>
      </c>
      <c r="B148" s="93">
        <v>6336952</v>
      </c>
      <c r="C148" s="94">
        <v>5</v>
      </c>
      <c r="D148" s="95" t="s">
        <v>125</v>
      </c>
      <c r="E148" s="96" t="s">
        <v>356</v>
      </c>
      <c r="F148" s="97">
        <v>13189784951</v>
      </c>
      <c r="G148" s="105"/>
      <c r="H148" s="100"/>
      <c r="I148" s="100"/>
      <c r="L148" s="101">
        <v>2509669</v>
      </c>
      <c r="M148" s="102">
        <v>5.1998000000000003E-2</v>
      </c>
      <c r="N148" s="103">
        <f t="shared" si="2"/>
        <v>130497.768662</v>
      </c>
      <c r="O148" s="101">
        <v>628170</v>
      </c>
      <c r="P148" s="104">
        <v>8.5000000000000006E-2</v>
      </c>
      <c r="Q148" s="104">
        <v>0.66069999999999995</v>
      </c>
      <c r="R148" s="97">
        <v>8</v>
      </c>
      <c r="S148" s="101">
        <v>4598189</v>
      </c>
      <c r="T148" s="101">
        <v>1560100</v>
      </c>
      <c r="U148" s="101">
        <v>20</v>
      </c>
      <c r="V148" s="101">
        <v>3494478</v>
      </c>
      <c r="W148" s="104">
        <v>0.83499999999999996</v>
      </c>
      <c r="X148" s="101">
        <v>2095574</v>
      </c>
    </row>
    <row r="149" spans="1:24" ht="14">
      <c r="A149" s="93" t="s">
        <v>357</v>
      </c>
      <c r="B149" s="93">
        <v>62540916</v>
      </c>
      <c r="C149" s="94">
        <v>5</v>
      </c>
      <c r="D149" s="95" t="s">
        <v>122</v>
      </c>
      <c r="E149" s="96" t="s">
        <v>210</v>
      </c>
      <c r="F149" s="97">
        <v>13423888281</v>
      </c>
      <c r="G149" s="105" t="s">
        <v>22</v>
      </c>
      <c r="H149" s="100"/>
      <c r="I149" s="100"/>
      <c r="L149" s="101">
        <v>10479465</v>
      </c>
      <c r="M149" s="102">
        <v>8.8419999999999992E-3</v>
      </c>
      <c r="N149" s="103">
        <f t="shared" si="2"/>
        <v>92659.429529999994</v>
      </c>
      <c r="O149" s="101">
        <v>862460</v>
      </c>
      <c r="P149" s="104">
        <v>0.1024</v>
      </c>
      <c r="Q149" s="104">
        <v>5.7000000000000002E-2</v>
      </c>
      <c r="R149" s="97">
        <v>50</v>
      </c>
      <c r="S149" s="101">
        <v>339417</v>
      </c>
      <c r="T149" s="101">
        <v>320070</v>
      </c>
      <c r="U149" s="101">
        <v>99</v>
      </c>
      <c r="V149" s="101">
        <v>293577</v>
      </c>
      <c r="W149" s="104">
        <v>0.91300000000000003</v>
      </c>
      <c r="X149" s="101">
        <v>9567752</v>
      </c>
    </row>
    <row r="150" spans="1:24" ht="14">
      <c r="A150" s="93" t="s">
        <v>358</v>
      </c>
      <c r="B150" s="93">
        <v>66607740</v>
      </c>
      <c r="C150" s="94">
        <v>5</v>
      </c>
      <c r="D150" s="95" t="s">
        <v>125</v>
      </c>
      <c r="E150" s="96" t="s">
        <v>130</v>
      </c>
      <c r="F150" s="97">
        <v>13853147102</v>
      </c>
      <c r="G150" s="105"/>
      <c r="H150" s="100"/>
      <c r="I150" s="100"/>
      <c r="L150" s="101">
        <v>9199274</v>
      </c>
      <c r="M150" s="102">
        <v>1.3969000000000001E-2</v>
      </c>
      <c r="N150" s="103">
        <f t="shared" si="2"/>
        <v>128504.65850600001</v>
      </c>
      <c r="O150" s="101">
        <v>501360</v>
      </c>
      <c r="P150" s="104">
        <v>2.2100000000000002E-2</v>
      </c>
      <c r="Q150" s="104">
        <v>2.4400000000000002E-2</v>
      </c>
      <c r="R150" s="97">
        <v>38</v>
      </c>
      <c r="S150" s="101">
        <v>694120</v>
      </c>
      <c r="T150" s="101">
        <v>677190</v>
      </c>
      <c r="U150" s="101">
        <v>92</v>
      </c>
      <c r="V150" s="101">
        <v>648736</v>
      </c>
      <c r="W150" s="104">
        <v>0.89700000000000002</v>
      </c>
      <c r="X150" s="101">
        <v>8251749</v>
      </c>
    </row>
    <row r="151" spans="1:24" ht="14">
      <c r="A151" s="93" t="s">
        <v>359</v>
      </c>
      <c r="B151" s="93">
        <v>37754047</v>
      </c>
      <c r="C151" s="94">
        <v>5</v>
      </c>
      <c r="D151" s="95" t="s">
        <v>125</v>
      </c>
      <c r="E151" s="96" t="s">
        <v>253</v>
      </c>
      <c r="F151" s="97">
        <v>15280060830</v>
      </c>
      <c r="G151" s="105"/>
      <c r="H151" s="100"/>
      <c r="I151" s="100"/>
      <c r="L151" s="101">
        <v>2732167</v>
      </c>
      <c r="M151" s="102">
        <v>2.3296999999999998E-2</v>
      </c>
      <c r="N151" s="103">
        <f t="shared" si="2"/>
        <v>63651.294598999993</v>
      </c>
      <c r="O151" s="101">
        <v>272670</v>
      </c>
      <c r="P151" s="104">
        <v>3.95E-2</v>
      </c>
      <c r="Q151" s="104">
        <v>4.53E-2</v>
      </c>
      <c r="R151" s="97">
        <v>5</v>
      </c>
      <c r="S151" s="101">
        <v>1725920</v>
      </c>
      <c r="T151" s="101">
        <v>1647736</v>
      </c>
      <c r="U151" s="101">
        <v>13</v>
      </c>
      <c r="V151" s="101">
        <v>1629212</v>
      </c>
      <c r="W151" s="104">
        <v>0.92500000000000004</v>
      </c>
      <c r="X151" s="101">
        <v>2527254</v>
      </c>
    </row>
    <row r="152" spans="1:24" ht="14">
      <c r="A152" s="93" t="s">
        <v>360</v>
      </c>
      <c r="B152" s="93">
        <v>40427625</v>
      </c>
      <c r="C152" s="94">
        <v>5</v>
      </c>
      <c r="D152" s="95" t="s">
        <v>122</v>
      </c>
      <c r="E152" s="96" t="s">
        <v>339</v>
      </c>
      <c r="F152" s="97">
        <v>18817363098</v>
      </c>
      <c r="G152" s="105" t="s">
        <v>137</v>
      </c>
      <c r="H152" s="100"/>
      <c r="I152" s="100"/>
      <c r="L152" s="101">
        <v>3977241</v>
      </c>
      <c r="M152" s="102">
        <v>1.5181999999999999E-2</v>
      </c>
      <c r="N152" s="103">
        <f t="shared" si="2"/>
        <v>60382.472861999995</v>
      </c>
      <c r="O152" s="101">
        <v>196873</v>
      </c>
      <c r="P152" s="104">
        <v>6.0100000000000001E-2</v>
      </c>
      <c r="Q152" s="104">
        <v>3.6299999999999999E-2</v>
      </c>
      <c r="R152" s="97">
        <v>11</v>
      </c>
      <c r="S152" s="101">
        <v>943581</v>
      </c>
      <c r="T152" s="101">
        <v>909329</v>
      </c>
      <c r="U152" s="101">
        <v>14</v>
      </c>
      <c r="V152" s="101">
        <v>1235551</v>
      </c>
      <c r="W152" s="104">
        <v>0.90100000000000002</v>
      </c>
      <c r="X152" s="101">
        <v>3583494</v>
      </c>
    </row>
    <row r="153" spans="1:24" ht="14">
      <c r="A153" s="93" t="s">
        <v>361</v>
      </c>
      <c r="B153" s="93">
        <v>1195284234</v>
      </c>
      <c r="C153" s="94">
        <v>5</v>
      </c>
      <c r="D153" s="95" t="s">
        <v>125</v>
      </c>
      <c r="E153" s="96" t="s">
        <v>130</v>
      </c>
      <c r="F153" s="97">
        <v>15501678170</v>
      </c>
      <c r="G153" s="105"/>
      <c r="H153" s="100"/>
      <c r="I153" s="100"/>
      <c r="L153" s="101">
        <v>3454546</v>
      </c>
      <c r="M153" s="102">
        <v>1.1833E-2</v>
      </c>
      <c r="N153" s="103">
        <f t="shared" si="2"/>
        <v>40877.642818</v>
      </c>
      <c r="O153" s="101">
        <v>264964</v>
      </c>
      <c r="P153" s="104">
        <v>9.9199999999999997E-2</v>
      </c>
      <c r="Q153" s="104">
        <v>0.26519999999999999</v>
      </c>
      <c r="R153" s="97">
        <v>7</v>
      </c>
      <c r="S153" s="101">
        <v>1576852</v>
      </c>
      <c r="T153" s="101">
        <v>1158671</v>
      </c>
      <c r="U153" s="101">
        <v>16</v>
      </c>
      <c r="V153" s="101">
        <v>1588604</v>
      </c>
      <c r="W153" s="104">
        <v>0.80800000000000005</v>
      </c>
      <c r="X153" s="101">
        <v>2791273</v>
      </c>
    </row>
    <row r="154" spans="1:24" ht="14">
      <c r="A154" s="93" t="s">
        <v>362</v>
      </c>
      <c r="B154" s="93">
        <v>1420982</v>
      </c>
      <c r="C154" s="94">
        <v>5</v>
      </c>
      <c r="D154" s="95" t="s">
        <v>125</v>
      </c>
      <c r="E154" s="96" t="s">
        <v>128</v>
      </c>
      <c r="F154" s="97">
        <v>15160706475</v>
      </c>
      <c r="G154" s="105"/>
      <c r="H154" s="100"/>
      <c r="I154" s="100"/>
      <c r="L154" s="101">
        <v>4785226</v>
      </c>
      <c r="M154" s="102">
        <v>2.4429999999999999E-3</v>
      </c>
      <c r="N154" s="103">
        <f t="shared" si="2"/>
        <v>11690.307117999999</v>
      </c>
      <c r="O154" s="101">
        <v>292377</v>
      </c>
      <c r="P154" s="104">
        <v>9.9299999999999999E-2</v>
      </c>
      <c r="Q154" s="104">
        <v>0.45910000000000001</v>
      </c>
      <c r="R154" s="97">
        <v>3</v>
      </c>
      <c r="S154" s="101">
        <v>2851729</v>
      </c>
      <c r="T154" s="101">
        <v>1542500</v>
      </c>
      <c r="U154" s="101">
        <v>7</v>
      </c>
      <c r="V154" s="101">
        <v>4107058</v>
      </c>
      <c r="W154" s="104">
        <v>0.90700000000000003</v>
      </c>
      <c r="X154" s="101">
        <v>4340200</v>
      </c>
    </row>
    <row r="155" spans="1:24" ht="14">
      <c r="A155" s="93" t="s">
        <v>363</v>
      </c>
      <c r="B155" s="93">
        <v>8034163</v>
      </c>
      <c r="C155" s="94">
        <v>5</v>
      </c>
      <c r="D155" s="95" t="s">
        <v>125</v>
      </c>
      <c r="E155" s="96" t="s">
        <v>245</v>
      </c>
      <c r="F155" s="97">
        <v>17721390327</v>
      </c>
      <c r="G155" s="105"/>
      <c r="H155" s="100"/>
      <c r="I155" s="100"/>
      <c r="L155" s="101">
        <v>1386396</v>
      </c>
      <c r="M155" s="102">
        <v>5.4462000000000003E-2</v>
      </c>
      <c r="N155" s="103">
        <f t="shared" si="2"/>
        <v>75505.898952000003</v>
      </c>
      <c r="O155" s="101">
        <v>341885</v>
      </c>
      <c r="P155" s="104">
        <v>0.1908</v>
      </c>
      <c r="Q155" s="104">
        <v>7.4999999999999997E-3</v>
      </c>
      <c r="R155" s="97">
        <v>19</v>
      </c>
      <c r="S155" s="101">
        <v>861146</v>
      </c>
      <c r="T155" s="101">
        <v>854687</v>
      </c>
      <c r="U155" s="101">
        <v>36</v>
      </c>
      <c r="V155" s="101">
        <v>779718</v>
      </c>
      <c r="W155" s="104">
        <v>0.89300000000000002</v>
      </c>
      <c r="X155" s="101">
        <v>1238052</v>
      </c>
    </row>
    <row r="156" spans="1:24" ht="14">
      <c r="A156" s="93" t="s">
        <v>92</v>
      </c>
      <c r="B156" s="93">
        <v>1838326986</v>
      </c>
      <c r="C156" s="94">
        <v>4</v>
      </c>
      <c r="D156" s="95" t="s">
        <v>122</v>
      </c>
      <c r="E156" s="96" t="s">
        <v>364</v>
      </c>
      <c r="F156" s="97">
        <v>15395755241</v>
      </c>
      <c r="G156" s="105" t="s">
        <v>22</v>
      </c>
      <c r="H156" s="100"/>
      <c r="I156" s="100"/>
      <c r="K156" t="s">
        <v>365</v>
      </c>
      <c r="L156" s="101">
        <v>3047543</v>
      </c>
      <c r="M156" s="102">
        <v>5.293E-3</v>
      </c>
      <c r="N156" s="103">
        <f t="shared" si="2"/>
        <v>16130.645098999999</v>
      </c>
      <c r="O156" s="101">
        <v>485474</v>
      </c>
      <c r="P156" s="104">
        <v>0.82789999999999997</v>
      </c>
      <c r="Q156" s="104">
        <v>1.09E-2</v>
      </c>
      <c r="R156" s="97">
        <v>7</v>
      </c>
      <c r="S156" s="101">
        <v>801901</v>
      </c>
      <c r="T156" s="101">
        <v>793160</v>
      </c>
      <c r="U156" s="101">
        <v>12</v>
      </c>
      <c r="V156" s="101">
        <v>860208</v>
      </c>
      <c r="W156" s="104">
        <v>0.90700000000000003</v>
      </c>
      <c r="X156" s="101">
        <v>2764122</v>
      </c>
    </row>
    <row r="157" spans="1:24" ht="14">
      <c r="A157" s="93" t="s">
        <v>366</v>
      </c>
      <c r="B157" s="93">
        <v>313580179</v>
      </c>
      <c r="C157" s="94">
        <v>4</v>
      </c>
      <c r="D157" s="95" t="s">
        <v>125</v>
      </c>
      <c r="E157" s="96" t="s">
        <v>253</v>
      </c>
      <c r="F157" s="97">
        <v>15353586869</v>
      </c>
      <c r="G157" s="105"/>
      <c r="H157" s="100"/>
      <c r="I157" s="100"/>
      <c r="L157" s="101">
        <v>3648214</v>
      </c>
      <c r="M157" s="102">
        <v>9.7979999999999994E-3</v>
      </c>
      <c r="N157" s="103">
        <f t="shared" si="2"/>
        <v>35745.200771999997</v>
      </c>
      <c r="O157" s="101">
        <v>592105</v>
      </c>
      <c r="P157" s="104">
        <v>7.2800000000000004E-2</v>
      </c>
      <c r="Q157" s="104">
        <v>3.6999999999999998E-2</v>
      </c>
      <c r="R157" s="97">
        <v>6</v>
      </c>
      <c r="S157" s="101">
        <v>1727219</v>
      </c>
      <c r="T157" s="101">
        <v>1663312</v>
      </c>
      <c r="U157" s="101">
        <v>13</v>
      </c>
      <c r="V157" s="101">
        <v>1599329</v>
      </c>
      <c r="W157" s="104">
        <v>0.90500000000000003</v>
      </c>
      <c r="X157" s="101">
        <v>3301634</v>
      </c>
    </row>
    <row r="158" spans="1:24" ht="14">
      <c r="A158" s="93" t="s">
        <v>367</v>
      </c>
      <c r="B158" s="93">
        <v>477531206</v>
      </c>
      <c r="C158" s="94">
        <v>4</v>
      </c>
      <c r="D158" s="95" t="s">
        <v>125</v>
      </c>
      <c r="E158" s="96" t="s">
        <v>249</v>
      </c>
      <c r="F158" s="97">
        <v>19807128776</v>
      </c>
      <c r="G158" s="105"/>
      <c r="H158" s="100"/>
      <c r="I158" s="100"/>
      <c r="L158" s="101">
        <v>4020306</v>
      </c>
      <c r="M158" s="102">
        <v>8.6320000000000008E-3</v>
      </c>
      <c r="N158" s="103">
        <f t="shared" si="2"/>
        <v>34703.281392000004</v>
      </c>
      <c r="O158" s="101">
        <v>367858</v>
      </c>
      <c r="P158" s="104">
        <v>0.3095</v>
      </c>
      <c r="Q158" s="104">
        <v>0.36020000000000002</v>
      </c>
      <c r="R158" s="97">
        <v>8</v>
      </c>
      <c r="S158" s="101">
        <v>1791253</v>
      </c>
      <c r="T158" s="101">
        <v>1146044</v>
      </c>
      <c r="U158" s="101">
        <v>15</v>
      </c>
      <c r="V158" s="101">
        <v>1326914</v>
      </c>
      <c r="W158" s="104">
        <v>0.88300000000000001</v>
      </c>
      <c r="X158" s="101">
        <v>3549930</v>
      </c>
    </row>
    <row r="159" spans="1:24" ht="14">
      <c r="A159" s="93" t="s">
        <v>368</v>
      </c>
      <c r="B159" s="93">
        <v>42561463</v>
      </c>
      <c r="C159" s="94">
        <v>4</v>
      </c>
      <c r="D159" s="95" t="s">
        <v>125</v>
      </c>
      <c r="E159" s="96" t="s">
        <v>253</v>
      </c>
      <c r="F159" s="97">
        <v>13262232233</v>
      </c>
      <c r="G159" s="105" t="s">
        <v>184</v>
      </c>
      <c r="H159" s="100"/>
      <c r="I159" s="100"/>
      <c r="L159" s="101">
        <v>4306047</v>
      </c>
      <c r="M159" s="102">
        <v>6.1460000000000004E-3</v>
      </c>
      <c r="N159" s="103">
        <f t="shared" si="2"/>
        <v>26464.964862000001</v>
      </c>
      <c r="O159" s="101">
        <v>664423</v>
      </c>
      <c r="P159" s="104">
        <v>0.2288</v>
      </c>
      <c r="Q159" s="104">
        <v>0.5161</v>
      </c>
      <c r="R159" s="97">
        <v>14</v>
      </c>
      <c r="S159" s="101">
        <v>1936230</v>
      </c>
      <c r="T159" s="101">
        <v>936942</v>
      </c>
      <c r="U159" s="101">
        <v>25</v>
      </c>
      <c r="V159" s="101">
        <v>2014849</v>
      </c>
      <c r="W159" s="104">
        <v>0.86699999999999999</v>
      </c>
      <c r="X159" s="101">
        <v>3733343</v>
      </c>
    </row>
    <row r="160" spans="1:24" ht="14">
      <c r="A160" s="93" t="s">
        <v>369</v>
      </c>
      <c r="B160" s="93">
        <v>26032219</v>
      </c>
      <c r="C160" s="94">
        <v>4</v>
      </c>
      <c r="D160" s="95" t="s">
        <v>125</v>
      </c>
      <c r="E160" s="96" t="s">
        <v>147</v>
      </c>
      <c r="F160" s="97">
        <v>13393156172</v>
      </c>
      <c r="G160" s="105"/>
      <c r="H160" s="100"/>
      <c r="I160" s="100"/>
      <c r="L160" s="101">
        <v>3584222</v>
      </c>
      <c r="M160" s="102">
        <v>4.7039999999999998E-3</v>
      </c>
      <c r="N160" s="103">
        <f t="shared" si="2"/>
        <v>16860.180288</v>
      </c>
      <c r="O160" s="101">
        <v>621863</v>
      </c>
      <c r="P160" s="104">
        <v>0.23619999999999999</v>
      </c>
      <c r="Q160" s="104">
        <v>0.49</v>
      </c>
      <c r="R160" s="97">
        <v>12</v>
      </c>
      <c r="S160" s="101">
        <v>2502569</v>
      </c>
      <c r="T160" s="101">
        <v>1276310</v>
      </c>
      <c r="U160" s="101">
        <v>24</v>
      </c>
      <c r="V160" s="101">
        <v>2502056</v>
      </c>
      <c r="W160" s="104">
        <v>0.72</v>
      </c>
      <c r="X160" s="101">
        <v>2580640</v>
      </c>
    </row>
    <row r="161" spans="1:24" ht="14">
      <c r="A161" s="93" t="s">
        <v>370</v>
      </c>
      <c r="B161" s="93">
        <v>3433092</v>
      </c>
      <c r="C161" s="94">
        <v>4</v>
      </c>
      <c r="D161" s="95" t="s">
        <v>125</v>
      </c>
      <c r="E161" s="96" t="s">
        <v>276</v>
      </c>
      <c r="F161" s="97">
        <v>13423806555</v>
      </c>
      <c r="G161" s="105"/>
      <c r="H161" s="100"/>
      <c r="I161" s="100"/>
      <c r="L161" s="101">
        <v>2101540</v>
      </c>
      <c r="M161" s="102">
        <v>3.3173000000000001E-2</v>
      </c>
      <c r="N161" s="103">
        <f t="shared" si="2"/>
        <v>69714.386419999995</v>
      </c>
      <c r="O161" s="101">
        <v>321956</v>
      </c>
      <c r="P161" s="104">
        <v>0.11409999999999999</v>
      </c>
      <c r="Q161" s="104">
        <v>0.5806</v>
      </c>
      <c r="R161" s="97">
        <v>3</v>
      </c>
      <c r="S161" s="101">
        <v>1865505</v>
      </c>
      <c r="T161" s="101">
        <v>782393</v>
      </c>
      <c r="U161" s="101">
        <v>8</v>
      </c>
      <c r="V161" s="101">
        <v>1461988</v>
      </c>
      <c r="W161" s="104">
        <v>0.92900000000000005</v>
      </c>
      <c r="X161" s="101">
        <v>1952331</v>
      </c>
    </row>
    <row r="162" spans="1:24" ht="14">
      <c r="A162" s="93" t="s">
        <v>371</v>
      </c>
      <c r="B162" s="93">
        <v>1875245620</v>
      </c>
      <c r="C162" s="94">
        <v>4</v>
      </c>
      <c r="D162" s="95" t="s">
        <v>125</v>
      </c>
      <c r="E162" s="96" t="s">
        <v>372</v>
      </c>
      <c r="F162" s="97">
        <v>18514423669</v>
      </c>
      <c r="G162" s="105"/>
      <c r="H162" s="100"/>
      <c r="I162" s="100"/>
      <c r="L162" s="101">
        <v>1644785</v>
      </c>
      <c r="M162" s="102">
        <v>2.3127999999999999E-2</v>
      </c>
      <c r="N162" s="103">
        <f t="shared" si="2"/>
        <v>38040.587480000002</v>
      </c>
      <c r="O162" s="101">
        <v>78621</v>
      </c>
      <c r="P162" s="104">
        <v>3.9800000000000002E-2</v>
      </c>
      <c r="Q162" s="104">
        <v>0.1103</v>
      </c>
      <c r="R162" s="97">
        <v>3</v>
      </c>
      <c r="S162" s="101">
        <v>1159923</v>
      </c>
      <c r="T162" s="101">
        <v>1031983</v>
      </c>
      <c r="U162" s="101">
        <v>10</v>
      </c>
      <c r="V162" s="101">
        <v>839508</v>
      </c>
      <c r="W162" s="104">
        <v>0.90800000000000003</v>
      </c>
      <c r="X162" s="101">
        <v>1493465</v>
      </c>
    </row>
    <row r="163" spans="1:24" ht="14">
      <c r="A163" s="93" t="s">
        <v>373</v>
      </c>
      <c r="B163" s="93">
        <v>651386960</v>
      </c>
      <c r="C163" s="94">
        <v>4</v>
      </c>
      <c r="D163" s="95" t="s">
        <v>125</v>
      </c>
      <c r="E163" s="96" t="s">
        <v>253</v>
      </c>
      <c r="F163" s="97">
        <v>19195557032</v>
      </c>
      <c r="G163" s="105"/>
      <c r="H163" s="100"/>
      <c r="I163" s="100"/>
      <c r="L163" s="101">
        <v>1815717</v>
      </c>
      <c r="M163" s="102">
        <v>3.0188E-2</v>
      </c>
      <c r="N163" s="103">
        <f t="shared" si="2"/>
        <v>54812.864796000002</v>
      </c>
      <c r="O163" s="101">
        <v>261826</v>
      </c>
      <c r="P163" s="104">
        <v>7.5999999999999998E-2</v>
      </c>
      <c r="Q163" s="104">
        <v>0.1216</v>
      </c>
      <c r="R163" s="97">
        <v>10</v>
      </c>
      <c r="S163" s="101">
        <v>1642536</v>
      </c>
      <c r="T163" s="101">
        <v>1442804</v>
      </c>
      <c r="U163" s="101">
        <v>17</v>
      </c>
      <c r="V163" s="101">
        <v>1646202</v>
      </c>
      <c r="W163" s="104">
        <v>0.90500000000000003</v>
      </c>
      <c r="X163" s="101">
        <v>1643224</v>
      </c>
    </row>
    <row r="164" spans="1:24" ht="14">
      <c r="A164" s="93" t="s">
        <v>374</v>
      </c>
      <c r="B164" s="93">
        <v>43536</v>
      </c>
      <c r="C164" s="94">
        <v>4</v>
      </c>
      <c r="D164" s="95" t="s">
        <v>125</v>
      </c>
      <c r="E164" s="96" t="s">
        <v>208</v>
      </c>
      <c r="F164" s="97">
        <v>18688003617</v>
      </c>
      <c r="G164" s="105"/>
      <c r="H164" s="100"/>
      <c r="I164" s="100"/>
      <c r="L164" s="101">
        <v>2566052</v>
      </c>
      <c r="M164" s="102">
        <v>2.0476999999999999E-2</v>
      </c>
      <c r="N164" s="103">
        <f t="shared" si="2"/>
        <v>52545.046803999998</v>
      </c>
      <c r="O164" s="101">
        <v>555294</v>
      </c>
      <c r="P164" s="104">
        <v>0.1024</v>
      </c>
      <c r="Q164" s="104">
        <v>2.87E-2</v>
      </c>
      <c r="R164" s="97">
        <v>33</v>
      </c>
      <c r="S164" s="101">
        <v>223754</v>
      </c>
      <c r="T164" s="101">
        <v>217332</v>
      </c>
      <c r="U164" s="101">
        <v>59</v>
      </c>
      <c r="V164" s="101">
        <v>205915</v>
      </c>
      <c r="W164" s="104">
        <v>0.94899999999999995</v>
      </c>
      <c r="X164" s="101">
        <v>2435183</v>
      </c>
    </row>
    <row r="165" spans="1:24" ht="14">
      <c r="A165" s="93" t="s">
        <v>375</v>
      </c>
      <c r="B165" s="93">
        <v>35359510</v>
      </c>
      <c r="C165" s="94">
        <v>4</v>
      </c>
      <c r="D165" s="95" t="s">
        <v>125</v>
      </c>
      <c r="E165" s="96" t="s">
        <v>123</v>
      </c>
      <c r="F165" s="97">
        <v>18511187684</v>
      </c>
      <c r="G165" s="105"/>
      <c r="H165" s="100"/>
      <c r="I165" s="100"/>
      <c r="L165" s="101">
        <v>3511045</v>
      </c>
      <c r="M165" s="102">
        <v>1.7616E-2</v>
      </c>
      <c r="N165" s="103">
        <f t="shared" si="2"/>
        <v>61850.568719999996</v>
      </c>
      <c r="O165" s="101">
        <v>659374</v>
      </c>
      <c r="P165" s="104">
        <v>3.5200000000000002E-2</v>
      </c>
      <c r="Q165" s="104">
        <v>1.29E-2</v>
      </c>
      <c r="R165" s="97">
        <v>16</v>
      </c>
      <c r="S165" s="101">
        <v>439649</v>
      </c>
      <c r="T165" s="101">
        <v>433978</v>
      </c>
      <c r="U165" s="101">
        <v>33</v>
      </c>
      <c r="V165" s="101">
        <v>429027</v>
      </c>
      <c r="W165" s="104">
        <v>0.94199999999999995</v>
      </c>
      <c r="X165" s="101">
        <v>3307404</v>
      </c>
    </row>
    <row r="166" spans="1:24" ht="14">
      <c r="A166" s="93" t="s">
        <v>376</v>
      </c>
      <c r="B166" s="93">
        <v>3766866</v>
      </c>
      <c r="C166" s="94">
        <v>4</v>
      </c>
      <c r="D166" s="95" t="s">
        <v>125</v>
      </c>
      <c r="E166" s="96" t="s">
        <v>123</v>
      </c>
      <c r="F166" s="97">
        <v>18686861365</v>
      </c>
      <c r="G166" s="105"/>
      <c r="H166" s="100"/>
      <c r="I166" s="100"/>
      <c r="L166" s="101">
        <v>4415978</v>
      </c>
      <c r="M166" s="102">
        <v>2.5047E-2</v>
      </c>
      <c r="N166" s="103">
        <f t="shared" si="2"/>
        <v>110607.00096599999</v>
      </c>
      <c r="O166" s="101">
        <v>792226</v>
      </c>
      <c r="P166" s="104">
        <v>8.0299999999999996E-2</v>
      </c>
      <c r="Q166" s="104">
        <v>1.43E-2</v>
      </c>
      <c r="R166" s="97">
        <v>21</v>
      </c>
      <c r="S166" s="101">
        <v>690762</v>
      </c>
      <c r="T166" s="101">
        <v>680884</v>
      </c>
      <c r="U166" s="101">
        <v>45</v>
      </c>
      <c r="V166" s="101">
        <v>597060</v>
      </c>
      <c r="W166" s="104">
        <v>0.93799999999999994</v>
      </c>
      <c r="X166" s="101">
        <v>4142187</v>
      </c>
    </row>
    <row r="167" spans="1:24" ht="14">
      <c r="A167" s="93" t="s">
        <v>377</v>
      </c>
      <c r="B167" s="93">
        <v>471303350</v>
      </c>
      <c r="C167" s="94">
        <v>4</v>
      </c>
      <c r="D167" s="95" t="s">
        <v>125</v>
      </c>
      <c r="E167" s="96" t="s">
        <v>356</v>
      </c>
      <c r="F167" s="97">
        <v>18682152279</v>
      </c>
      <c r="G167" s="105"/>
      <c r="H167" s="100"/>
      <c r="I167" s="100"/>
      <c r="L167" s="101">
        <v>2646266</v>
      </c>
      <c r="M167" s="102">
        <v>4.8002000000000003E-2</v>
      </c>
      <c r="N167" s="103">
        <f t="shared" si="2"/>
        <v>127026.060532</v>
      </c>
      <c r="O167" s="101">
        <v>759214</v>
      </c>
      <c r="P167" s="104">
        <v>9.0899999999999995E-2</v>
      </c>
      <c r="Q167" s="104">
        <v>0.20979999999999999</v>
      </c>
      <c r="R167" s="97">
        <v>21</v>
      </c>
      <c r="S167" s="101">
        <v>877617</v>
      </c>
      <c r="T167" s="101">
        <v>693493</v>
      </c>
      <c r="U167" s="101">
        <v>46</v>
      </c>
      <c r="V167" s="101">
        <v>779043</v>
      </c>
      <c r="W167" s="104">
        <v>0.92900000000000005</v>
      </c>
      <c r="X167" s="101">
        <v>2458381</v>
      </c>
    </row>
    <row r="168" spans="1:24" ht="14">
      <c r="A168" s="93" t="s">
        <v>378</v>
      </c>
      <c r="B168" s="93">
        <v>79577853</v>
      </c>
      <c r="C168" s="94">
        <v>4</v>
      </c>
      <c r="D168" s="95" t="s">
        <v>125</v>
      </c>
      <c r="E168" s="96" t="s">
        <v>147</v>
      </c>
      <c r="F168" s="97">
        <v>15972120131</v>
      </c>
      <c r="G168" s="105" t="s">
        <v>184</v>
      </c>
      <c r="H168" s="100"/>
      <c r="I168" s="100"/>
      <c r="L168" s="101">
        <v>4128011</v>
      </c>
      <c r="M168" s="102">
        <v>2.9031999999999999E-2</v>
      </c>
      <c r="N168" s="103">
        <f t="shared" si="2"/>
        <v>119844.415352</v>
      </c>
      <c r="O168" s="101">
        <v>723228</v>
      </c>
      <c r="P168" s="104">
        <v>0.11600000000000001</v>
      </c>
      <c r="Q168" s="104">
        <v>3.4299999999999997E-2</v>
      </c>
      <c r="R168" s="97">
        <v>32</v>
      </c>
      <c r="S168" s="101">
        <v>440791</v>
      </c>
      <c r="T168" s="101">
        <v>425672</v>
      </c>
      <c r="U168" s="101">
        <v>54</v>
      </c>
      <c r="V168" s="101">
        <v>396016</v>
      </c>
      <c r="W168" s="104">
        <v>0.91900000000000004</v>
      </c>
      <c r="X168" s="101">
        <v>3793642</v>
      </c>
    </row>
    <row r="169" spans="1:24" ht="14">
      <c r="A169" s="93" t="s">
        <v>379</v>
      </c>
      <c r="B169" s="93">
        <v>598464467</v>
      </c>
      <c r="C169" s="94">
        <v>4</v>
      </c>
      <c r="D169" s="95" t="s">
        <v>125</v>
      </c>
      <c r="E169" s="96" t="s">
        <v>305</v>
      </c>
      <c r="F169" s="97">
        <v>14721077016</v>
      </c>
      <c r="G169" s="105"/>
      <c r="H169" s="100"/>
      <c r="I169" s="100"/>
      <c r="L169" s="101">
        <v>3036089</v>
      </c>
      <c r="M169" s="102">
        <v>1.5275E-2</v>
      </c>
      <c r="N169" s="103">
        <f t="shared" si="2"/>
        <v>46376.259474999999</v>
      </c>
      <c r="O169" s="101">
        <v>432339</v>
      </c>
      <c r="P169" s="104">
        <v>9.0700000000000003E-2</v>
      </c>
      <c r="Q169" s="104">
        <v>0.74270000000000003</v>
      </c>
      <c r="R169" s="97">
        <v>7</v>
      </c>
      <c r="S169" s="101">
        <v>2294311</v>
      </c>
      <c r="T169" s="101">
        <v>590326</v>
      </c>
      <c r="U169" s="101">
        <v>12</v>
      </c>
      <c r="V169" s="101">
        <v>2124658</v>
      </c>
      <c r="W169" s="104">
        <v>0.91500000000000004</v>
      </c>
      <c r="X169" s="101">
        <v>2778021</v>
      </c>
    </row>
    <row r="170" spans="1:24" ht="14">
      <c r="A170" s="93" t="s">
        <v>32</v>
      </c>
      <c r="B170" s="93">
        <v>347667464</v>
      </c>
      <c r="C170" s="94">
        <v>4</v>
      </c>
      <c r="D170" s="95" t="s">
        <v>125</v>
      </c>
      <c r="E170" s="96" t="s">
        <v>130</v>
      </c>
      <c r="F170" s="97">
        <v>18868184297</v>
      </c>
      <c r="G170" s="105" t="s">
        <v>22</v>
      </c>
      <c r="H170" s="100"/>
      <c r="I170" s="100"/>
      <c r="L170" s="101">
        <v>4534039</v>
      </c>
      <c r="M170" s="102">
        <v>1.1831E-2</v>
      </c>
      <c r="N170" s="103">
        <f t="shared" si="2"/>
        <v>53642.215408999997</v>
      </c>
      <c r="O170" s="101">
        <v>589425</v>
      </c>
      <c r="P170" s="104">
        <v>0.6764</v>
      </c>
      <c r="Q170" s="104">
        <v>0.1176</v>
      </c>
      <c r="R170" s="97">
        <v>44</v>
      </c>
      <c r="S170" s="101">
        <v>431857</v>
      </c>
      <c r="T170" s="101">
        <v>381071</v>
      </c>
      <c r="U170" s="101">
        <v>76</v>
      </c>
      <c r="V170" s="101">
        <v>583218</v>
      </c>
      <c r="W170" s="104">
        <v>0.90400000000000003</v>
      </c>
      <c r="X170" s="101">
        <v>4098771</v>
      </c>
    </row>
    <row r="171" spans="1:24" ht="14">
      <c r="A171" s="93" t="s">
        <v>380</v>
      </c>
      <c r="B171" s="93">
        <v>263090405</v>
      </c>
      <c r="C171" s="94">
        <v>4</v>
      </c>
      <c r="D171" s="95" t="s">
        <v>122</v>
      </c>
      <c r="E171" s="96" t="s">
        <v>381</v>
      </c>
      <c r="F171" s="97">
        <v>13791911411</v>
      </c>
      <c r="G171" s="105" t="s">
        <v>26</v>
      </c>
      <c r="H171" s="99" t="s">
        <v>155</v>
      </c>
      <c r="I171" s="100" t="s">
        <v>257</v>
      </c>
      <c r="J171" t="s">
        <v>382</v>
      </c>
      <c r="L171" s="101">
        <v>1680524</v>
      </c>
      <c r="M171" s="102">
        <v>7.5459999999999998E-3</v>
      </c>
      <c r="N171" s="103">
        <f t="shared" si="2"/>
        <v>12681.234103999999</v>
      </c>
      <c r="O171" s="101">
        <v>344339</v>
      </c>
      <c r="P171" s="104">
        <v>0.84950000000000003</v>
      </c>
      <c r="Q171" s="104">
        <v>1.17E-2</v>
      </c>
      <c r="R171" s="97">
        <v>5</v>
      </c>
      <c r="S171" s="101">
        <v>1489549</v>
      </c>
      <c r="T171" s="101">
        <v>1472121</v>
      </c>
      <c r="U171" s="101">
        <v>8</v>
      </c>
      <c r="V171" s="101">
        <v>1243518</v>
      </c>
      <c r="W171" s="104">
        <v>0.89700000000000002</v>
      </c>
      <c r="X171" s="101">
        <v>1507430</v>
      </c>
    </row>
    <row r="172" spans="1:24" ht="14">
      <c r="A172" s="93" t="s">
        <v>383</v>
      </c>
      <c r="B172" s="93">
        <v>508416316</v>
      </c>
      <c r="C172" s="94">
        <v>4</v>
      </c>
      <c r="D172" s="95" t="s">
        <v>125</v>
      </c>
      <c r="E172" s="96" t="s">
        <v>384</v>
      </c>
      <c r="F172" s="97">
        <v>15665757613</v>
      </c>
      <c r="G172" s="105"/>
      <c r="H172" s="100"/>
      <c r="I172" s="100"/>
      <c r="L172" s="101">
        <v>2854868</v>
      </c>
      <c r="M172" s="102">
        <v>4.0277E-2</v>
      </c>
      <c r="N172" s="103">
        <f t="shared" si="2"/>
        <v>114985.518436</v>
      </c>
      <c r="O172" s="101">
        <v>843613</v>
      </c>
      <c r="P172" s="104">
        <v>0.67630000000000001</v>
      </c>
      <c r="Q172" s="104">
        <v>5.4100000000000002E-2</v>
      </c>
      <c r="R172" s="97">
        <v>19</v>
      </c>
      <c r="S172" s="101">
        <v>771744</v>
      </c>
      <c r="T172" s="101">
        <v>729993</v>
      </c>
      <c r="U172" s="101">
        <v>47</v>
      </c>
      <c r="V172" s="101">
        <v>618826</v>
      </c>
      <c r="W172" s="104">
        <v>0.89200000000000002</v>
      </c>
      <c r="X172" s="101">
        <v>2546542</v>
      </c>
    </row>
    <row r="173" spans="1:24" ht="14">
      <c r="A173" s="93" t="s">
        <v>385</v>
      </c>
      <c r="B173" s="93">
        <v>42870908</v>
      </c>
      <c r="C173" s="94">
        <v>4</v>
      </c>
      <c r="D173" s="95" t="s">
        <v>125</v>
      </c>
      <c r="E173" s="96" t="s">
        <v>321</v>
      </c>
      <c r="F173" s="97">
        <v>15896485292</v>
      </c>
      <c r="G173" s="105"/>
      <c r="H173" s="100"/>
      <c r="I173" s="100"/>
      <c r="L173" s="101">
        <v>3862740</v>
      </c>
      <c r="M173" s="102">
        <v>2.5124E-2</v>
      </c>
      <c r="N173" s="103">
        <f t="shared" si="2"/>
        <v>97047.479760000002</v>
      </c>
      <c r="O173" s="101">
        <v>662074</v>
      </c>
      <c r="P173" s="104">
        <v>0.47410000000000002</v>
      </c>
      <c r="Q173" s="104">
        <v>8.3900000000000002E-2</v>
      </c>
      <c r="R173" s="97">
        <v>50</v>
      </c>
      <c r="S173" s="101">
        <v>202794</v>
      </c>
      <c r="T173" s="101">
        <v>185776</v>
      </c>
      <c r="U173" s="101">
        <v>70</v>
      </c>
      <c r="V173" s="101">
        <v>203092</v>
      </c>
      <c r="W173" s="104">
        <v>0.879</v>
      </c>
      <c r="X173" s="101">
        <v>3395348</v>
      </c>
    </row>
    <row r="174" spans="1:24" ht="14">
      <c r="A174" s="93" t="s">
        <v>386</v>
      </c>
      <c r="B174" s="93">
        <v>296092268</v>
      </c>
      <c r="C174" s="94">
        <v>4</v>
      </c>
      <c r="D174" s="95" t="s">
        <v>125</v>
      </c>
      <c r="E174" s="96" t="s">
        <v>276</v>
      </c>
      <c r="F174" s="97">
        <v>13722866425</v>
      </c>
      <c r="G174" s="105"/>
      <c r="H174" s="100"/>
      <c r="I174" s="100"/>
      <c r="L174" s="101">
        <v>2876182</v>
      </c>
      <c r="M174" s="102">
        <v>1.6608999999999999E-2</v>
      </c>
      <c r="N174" s="103">
        <f t="shared" si="2"/>
        <v>47770.506837999994</v>
      </c>
      <c r="O174" s="101">
        <v>657208</v>
      </c>
      <c r="P174" s="104">
        <v>0.78600000000000003</v>
      </c>
      <c r="Q174" s="104">
        <v>0.21740000000000001</v>
      </c>
      <c r="R174" s="97">
        <v>24</v>
      </c>
      <c r="S174" s="101">
        <v>909968</v>
      </c>
      <c r="T174" s="101">
        <v>712149</v>
      </c>
      <c r="U174" s="101">
        <v>37</v>
      </c>
      <c r="V174" s="101">
        <v>692827</v>
      </c>
      <c r="W174" s="104">
        <v>0.875</v>
      </c>
      <c r="X174" s="101">
        <v>2516659</v>
      </c>
    </row>
    <row r="175" spans="1:24" ht="14">
      <c r="A175" s="93" t="s">
        <v>387</v>
      </c>
      <c r="B175" s="93">
        <v>11742550</v>
      </c>
      <c r="C175" s="94">
        <v>4</v>
      </c>
      <c r="D175" s="95" t="s">
        <v>125</v>
      </c>
      <c r="E175" s="96" t="s">
        <v>147</v>
      </c>
      <c r="F175" s="97">
        <v>13530419470</v>
      </c>
      <c r="G175" s="105"/>
      <c r="H175" s="100"/>
      <c r="I175" s="100"/>
      <c r="L175" s="101">
        <v>2752238</v>
      </c>
      <c r="M175" s="102">
        <v>1.157E-2</v>
      </c>
      <c r="N175" s="103">
        <f t="shared" si="2"/>
        <v>31843.393660000002</v>
      </c>
      <c r="O175" s="101">
        <v>404029</v>
      </c>
      <c r="P175" s="104">
        <v>9.5500000000000002E-2</v>
      </c>
      <c r="Q175" s="104">
        <v>0.42320000000000002</v>
      </c>
      <c r="R175" s="97">
        <v>11</v>
      </c>
      <c r="S175" s="101">
        <v>1375556</v>
      </c>
      <c r="T175" s="101">
        <v>793421</v>
      </c>
      <c r="U175" s="101">
        <v>19</v>
      </c>
      <c r="V175" s="101">
        <v>1543042</v>
      </c>
      <c r="W175" s="104">
        <v>0.85899999999999999</v>
      </c>
      <c r="X175" s="101">
        <v>2364172</v>
      </c>
    </row>
    <row r="176" spans="1:24" ht="14">
      <c r="A176" s="93" t="s">
        <v>388</v>
      </c>
      <c r="B176" s="93">
        <v>10874201</v>
      </c>
      <c r="C176" s="94">
        <v>4</v>
      </c>
      <c r="D176" s="95" t="s">
        <v>125</v>
      </c>
      <c r="E176" s="96" t="s">
        <v>147</v>
      </c>
      <c r="F176" s="97">
        <v>18220617753</v>
      </c>
      <c r="G176" s="105"/>
      <c r="H176" s="100"/>
      <c r="I176" s="100"/>
      <c r="L176" s="101">
        <v>3457098</v>
      </c>
      <c r="M176" s="102">
        <v>6.0509E-2</v>
      </c>
      <c r="N176" s="103">
        <f t="shared" si="2"/>
        <v>209185.54288200001</v>
      </c>
      <c r="O176" s="101">
        <v>799627</v>
      </c>
      <c r="P176" s="104">
        <v>7.3700000000000002E-2</v>
      </c>
      <c r="Q176" s="104">
        <v>0.53220000000000001</v>
      </c>
      <c r="R176" s="97">
        <v>38</v>
      </c>
      <c r="S176" s="101">
        <v>1162733</v>
      </c>
      <c r="T176" s="101">
        <v>543926</v>
      </c>
      <c r="U176" s="101">
        <v>82</v>
      </c>
      <c r="V176" s="101">
        <v>799730</v>
      </c>
      <c r="W176" s="104">
        <v>0.83699999999999997</v>
      </c>
      <c r="X176" s="101">
        <v>2893591</v>
      </c>
    </row>
    <row r="177" spans="1:24" ht="14">
      <c r="A177" s="93" t="s">
        <v>389</v>
      </c>
      <c r="B177" s="93">
        <v>5818410</v>
      </c>
      <c r="C177" s="94">
        <v>4</v>
      </c>
      <c r="D177" s="95" t="s">
        <v>125</v>
      </c>
      <c r="E177" s="96" t="s">
        <v>245</v>
      </c>
      <c r="F177" s="97">
        <v>13003920256</v>
      </c>
      <c r="G177" s="105"/>
      <c r="H177" s="100"/>
      <c r="I177" s="100"/>
      <c r="L177" s="101">
        <v>2970593</v>
      </c>
      <c r="M177" s="102">
        <v>1.044E-2</v>
      </c>
      <c r="N177" s="103">
        <f t="shared" si="2"/>
        <v>31012.99092</v>
      </c>
      <c r="O177" s="101">
        <v>428062</v>
      </c>
      <c r="P177" s="104">
        <v>0.36709999999999998</v>
      </c>
      <c r="Q177" s="104">
        <v>0.33500000000000002</v>
      </c>
      <c r="R177" s="97">
        <v>15</v>
      </c>
      <c r="S177" s="101">
        <v>1938541</v>
      </c>
      <c r="T177" s="101">
        <v>1289130</v>
      </c>
      <c r="U177" s="101">
        <v>33</v>
      </c>
      <c r="V177" s="101">
        <v>1853831</v>
      </c>
      <c r="W177" s="104">
        <v>0.78900000000000003</v>
      </c>
      <c r="X177" s="101">
        <v>2343798</v>
      </c>
    </row>
    <row r="178" spans="1:24" ht="14">
      <c r="A178" s="93" t="s">
        <v>390</v>
      </c>
      <c r="B178" s="93">
        <v>414350632</v>
      </c>
      <c r="C178" s="94">
        <v>4</v>
      </c>
      <c r="D178" s="95" t="s">
        <v>125</v>
      </c>
      <c r="E178" s="96" t="s">
        <v>130</v>
      </c>
      <c r="F178" s="97">
        <v>17743529021</v>
      </c>
      <c r="G178" s="105"/>
      <c r="H178" s="100"/>
      <c r="I178" s="100"/>
      <c r="L178" s="101">
        <v>1498302</v>
      </c>
      <c r="M178" s="102">
        <v>2.9404E-2</v>
      </c>
      <c r="N178" s="103">
        <f t="shared" si="2"/>
        <v>44056.072008000003</v>
      </c>
      <c r="O178" s="101">
        <v>160768</v>
      </c>
      <c r="P178" s="104">
        <v>0.03</v>
      </c>
      <c r="Q178" s="104">
        <v>1.6799999999999999E-2</v>
      </c>
      <c r="R178" s="97">
        <v>5</v>
      </c>
      <c r="S178" s="101">
        <v>836479</v>
      </c>
      <c r="T178" s="101">
        <v>822426</v>
      </c>
      <c r="U178" s="101">
        <v>12</v>
      </c>
      <c r="V178" s="101">
        <v>727590</v>
      </c>
      <c r="W178" s="104">
        <v>0.92700000000000005</v>
      </c>
      <c r="X178" s="101">
        <v>1388926</v>
      </c>
    </row>
    <row r="179" spans="1:24" ht="14">
      <c r="A179" s="93" t="s">
        <v>391</v>
      </c>
      <c r="B179" s="93">
        <v>17004561</v>
      </c>
      <c r="C179" s="94">
        <v>4</v>
      </c>
      <c r="D179" s="95" t="s">
        <v>125</v>
      </c>
      <c r="E179" s="96" t="s">
        <v>130</v>
      </c>
      <c r="F179" s="97">
        <v>15201470591</v>
      </c>
      <c r="G179" s="105"/>
      <c r="H179" s="100"/>
      <c r="I179" s="100"/>
      <c r="L179" s="101">
        <v>1040930</v>
      </c>
      <c r="M179" s="102">
        <v>8.7021000000000001E-2</v>
      </c>
      <c r="N179" s="103">
        <f t="shared" si="2"/>
        <v>90582.769530000005</v>
      </c>
      <c r="O179" s="101">
        <v>218595</v>
      </c>
      <c r="P179" s="104">
        <v>5.1499999999999997E-2</v>
      </c>
      <c r="Q179" s="104">
        <v>1.7899999999999999E-2</v>
      </c>
      <c r="R179" s="97">
        <v>6</v>
      </c>
      <c r="S179" s="101">
        <v>1090740</v>
      </c>
      <c r="T179" s="101">
        <v>1071263</v>
      </c>
      <c r="U179" s="101">
        <v>11</v>
      </c>
      <c r="V179" s="101">
        <v>1166367</v>
      </c>
      <c r="W179" s="104">
        <v>0.91400000000000003</v>
      </c>
      <c r="X179" s="101">
        <v>951410</v>
      </c>
    </row>
    <row r="180" spans="1:24" ht="14">
      <c r="A180" s="93" t="s">
        <v>392</v>
      </c>
      <c r="B180" s="93">
        <v>617285</v>
      </c>
      <c r="C180" s="94">
        <v>4</v>
      </c>
      <c r="D180" s="95" t="s">
        <v>125</v>
      </c>
      <c r="E180" s="96" t="s">
        <v>147</v>
      </c>
      <c r="F180" s="97">
        <v>13336208287</v>
      </c>
      <c r="G180" s="105"/>
      <c r="H180" s="100"/>
      <c r="I180" s="100"/>
      <c r="L180" s="101">
        <v>2242382</v>
      </c>
      <c r="M180" s="102">
        <v>4.6976999999999998E-2</v>
      </c>
      <c r="N180" s="103">
        <f t="shared" si="2"/>
        <v>105340.379214</v>
      </c>
      <c r="O180" s="101">
        <v>405647</v>
      </c>
      <c r="P180" s="104">
        <v>1.46E-2</v>
      </c>
      <c r="Q180" s="104">
        <v>2.1000000000000001E-2</v>
      </c>
      <c r="R180" s="97">
        <v>15</v>
      </c>
      <c r="S180" s="101">
        <v>574965</v>
      </c>
      <c r="T180" s="101">
        <v>562891</v>
      </c>
      <c r="U180" s="101">
        <v>26</v>
      </c>
      <c r="V180" s="101">
        <v>604409</v>
      </c>
      <c r="W180" s="104">
        <v>0.94199999999999995</v>
      </c>
      <c r="X180" s="101">
        <v>2112324</v>
      </c>
    </row>
    <row r="181" spans="1:24" ht="14">
      <c r="A181" s="93" t="s">
        <v>393</v>
      </c>
      <c r="B181" s="93">
        <v>470156882</v>
      </c>
      <c r="C181" s="94">
        <v>4</v>
      </c>
      <c r="D181" s="95" t="s">
        <v>125</v>
      </c>
      <c r="E181" s="96" t="s">
        <v>394</v>
      </c>
      <c r="F181" s="97">
        <v>13916263457</v>
      </c>
      <c r="G181" s="105"/>
      <c r="H181" s="100"/>
      <c r="I181" s="100"/>
      <c r="L181" s="101">
        <v>2605904</v>
      </c>
      <c r="M181" s="102">
        <v>5.0689999999999997E-3</v>
      </c>
      <c r="N181" s="103">
        <f t="shared" si="2"/>
        <v>13209.327375999999</v>
      </c>
      <c r="O181" s="101">
        <v>213945</v>
      </c>
      <c r="P181" s="104">
        <v>7.0800000000000002E-2</v>
      </c>
      <c r="Q181" s="104">
        <v>9.9500000000000005E-2</v>
      </c>
      <c r="R181" s="97">
        <v>5</v>
      </c>
      <c r="S181" s="101">
        <v>865439</v>
      </c>
      <c r="T181" s="101">
        <v>779328</v>
      </c>
      <c r="U181" s="101">
        <v>9</v>
      </c>
      <c r="V181" s="101">
        <v>949116</v>
      </c>
      <c r="W181" s="104">
        <v>0.93500000000000005</v>
      </c>
      <c r="X181" s="101">
        <v>2436520</v>
      </c>
    </row>
    <row r="182" spans="1:24" ht="14">
      <c r="A182" s="93" t="s">
        <v>395</v>
      </c>
      <c r="B182" s="93">
        <v>3334179</v>
      </c>
      <c r="C182" s="94">
        <v>4</v>
      </c>
      <c r="D182" s="95" t="s">
        <v>125</v>
      </c>
      <c r="E182" s="96" t="s">
        <v>143</v>
      </c>
      <c r="F182" s="97">
        <v>18158446038</v>
      </c>
      <c r="G182" s="105"/>
      <c r="H182" s="100"/>
      <c r="I182" s="100"/>
      <c r="L182" s="101">
        <v>2560751</v>
      </c>
      <c r="M182" s="102">
        <v>1.8468999999999999E-2</v>
      </c>
      <c r="N182" s="103">
        <f t="shared" si="2"/>
        <v>47294.510218999996</v>
      </c>
      <c r="O182" s="101">
        <v>355176</v>
      </c>
      <c r="P182" s="104">
        <v>0.12770000000000001</v>
      </c>
      <c r="Q182" s="104">
        <v>0.22720000000000001</v>
      </c>
      <c r="R182" s="97">
        <v>25</v>
      </c>
      <c r="S182" s="101">
        <v>200096</v>
      </c>
      <c r="T182" s="101">
        <v>154634</v>
      </c>
      <c r="U182" s="101">
        <v>35</v>
      </c>
      <c r="V182" s="101">
        <v>468620</v>
      </c>
      <c r="W182" s="104">
        <v>0.93300000000000005</v>
      </c>
      <c r="X182" s="101">
        <v>2389181</v>
      </c>
    </row>
    <row r="183" spans="1:24" ht="14">
      <c r="A183" s="93" t="s">
        <v>93</v>
      </c>
      <c r="B183" s="93">
        <v>338927049</v>
      </c>
      <c r="C183" s="94">
        <v>4</v>
      </c>
      <c r="D183" s="95" t="s">
        <v>122</v>
      </c>
      <c r="E183" s="96" t="s">
        <v>128</v>
      </c>
      <c r="F183" s="97">
        <v>15160017371</v>
      </c>
      <c r="G183" s="105" t="s">
        <v>22</v>
      </c>
      <c r="H183" s="99"/>
      <c r="I183" s="100"/>
      <c r="L183" s="101">
        <v>2169220</v>
      </c>
      <c r="M183" s="102">
        <v>2.6991000000000001E-2</v>
      </c>
      <c r="N183" s="103">
        <f t="shared" si="2"/>
        <v>58549.417020000001</v>
      </c>
      <c r="O183" s="101">
        <v>557490</v>
      </c>
      <c r="P183" s="104">
        <v>0.1363</v>
      </c>
      <c r="Q183" s="104">
        <v>0.1857</v>
      </c>
      <c r="R183" s="97">
        <v>10</v>
      </c>
      <c r="S183" s="101">
        <v>777372</v>
      </c>
      <c r="T183" s="101">
        <v>633003</v>
      </c>
      <c r="U183" s="101">
        <v>19</v>
      </c>
      <c r="V183" s="101">
        <v>831366</v>
      </c>
      <c r="W183" s="104">
        <v>0.93300000000000005</v>
      </c>
      <c r="X183" s="101">
        <v>2023882</v>
      </c>
    </row>
    <row r="184" spans="1:24" ht="14">
      <c r="A184" s="93" t="s">
        <v>96</v>
      </c>
      <c r="B184" s="93">
        <v>326246517</v>
      </c>
      <c r="C184" s="94">
        <v>4</v>
      </c>
      <c r="D184" s="95" t="s">
        <v>122</v>
      </c>
      <c r="E184" s="96" t="s">
        <v>396</v>
      </c>
      <c r="F184" s="97">
        <v>13901079022</v>
      </c>
      <c r="G184" s="105" t="s">
        <v>22</v>
      </c>
      <c r="H184" s="100"/>
      <c r="I184" s="100"/>
      <c r="L184" s="101">
        <v>2226461</v>
      </c>
      <c r="M184" s="102">
        <v>2.2342000000000001E-2</v>
      </c>
      <c r="N184" s="103">
        <f t="shared" si="2"/>
        <v>49743.591661999999</v>
      </c>
      <c r="O184" s="101">
        <v>515871</v>
      </c>
      <c r="P184" s="104">
        <v>0.1148</v>
      </c>
      <c r="Q184" s="104">
        <v>7.9100000000000004E-2</v>
      </c>
      <c r="R184" s="97">
        <v>5</v>
      </c>
      <c r="S184" s="101">
        <v>566258</v>
      </c>
      <c r="T184" s="101">
        <v>521467</v>
      </c>
      <c r="U184" s="101">
        <v>10</v>
      </c>
      <c r="V184" s="101">
        <v>577982</v>
      </c>
      <c r="W184" s="104">
        <v>0.93100000000000005</v>
      </c>
      <c r="X184" s="101">
        <v>2072835</v>
      </c>
    </row>
    <row r="185" spans="1:24" ht="14">
      <c r="A185" s="93" t="s">
        <v>397</v>
      </c>
      <c r="B185" s="93">
        <v>16794231</v>
      </c>
      <c r="C185" s="94">
        <v>4</v>
      </c>
      <c r="D185" s="95" t="s">
        <v>125</v>
      </c>
      <c r="E185" s="96" t="s">
        <v>147</v>
      </c>
      <c r="F185" s="97">
        <v>18221345550</v>
      </c>
      <c r="G185" s="105" t="s">
        <v>184</v>
      </c>
      <c r="H185" s="100"/>
      <c r="I185" s="100"/>
      <c r="L185" s="101">
        <v>3670570</v>
      </c>
      <c r="M185" s="102">
        <v>1.2279999999999999E-3</v>
      </c>
      <c r="N185" s="103">
        <f t="shared" si="2"/>
        <v>4507.4599600000001</v>
      </c>
      <c r="O185" s="101">
        <v>123331</v>
      </c>
      <c r="P185" s="104">
        <v>1.6799999999999999E-2</v>
      </c>
      <c r="Q185" s="104">
        <v>2.1100000000000001E-2</v>
      </c>
      <c r="R185" s="97">
        <v>1</v>
      </c>
      <c r="S185" s="101">
        <v>1168541</v>
      </c>
      <c r="T185" s="101">
        <v>1143885</v>
      </c>
      <c r="U185" s="101">
        <v>4</v>
      </c>
      <c r="V185" s="101">
        <v>826510</v>
      </c>
      <c r="W185" s="104">
        <v>0.92800000000000005</v>
      </c>
      <c r="X185" s="101">
        <v>3406289</v>
      </c>
    </row>
    <row r="186" spans="1:24" ht="14">
      <c r="A186" s="93" t="s">
        <v>398</v>
      </c>
      <c r="B186" s="93">
        <v>216025</v>
      </c>
      <c r="C186" s="94">
        <v>4</v>
      </c>
      <c r="D186" s="95" t="s">
        <v>125</v>
      </c>
      <c r="E186" s="96" t="s">
        <v>208</v>
      </c>
      <c r="F186" s="97">
        <v>15824185378</v>
      </c>
      <c r="G186" s="105"/>
      <c r="H186" s="100"/>
      <c r="I186" s="100"/>
      <c r="L186" s="101">
        <v>1608584</v>
      </c>
      <c r="M186" s="102">
        <v>7.0107000000000003E-2</v>
      </c>
      <c r="N186" s="103">
        <f t="shared" si="2"/>
        <v>112772.998488</v>
      </c>
      <c r="O186" s="101">
        <v>339894</v>
      </c>
      <c r="P186" s="104">
        <v>5.2900000000000003E-2</v>
      </c>
      <c r="Q186" s="104">
        <v>0.18690000000000001</v>
      </c>
      <c r="R186" s="97">
        <v>32</v>
      </c>
      <c r="S186" s="101">
        <v>404754</v>
      </c>
      <c r="T186" s="101">
        <v>329105</v>
      </c>
      <c r="U186" s="101">
        <v>62</v>
      </c>
      <c r="V186" s="101">
        <v>393952</v>
      </c>
      <c r="W186" s="104">
        <v>0.92500000000000004</v>
      </c>
      <c r="X186" s="101">
        <v>1487940</v>
      </c>
    </row>
    <row r="187" spans="1:24" ht="14">
      <c r="A187" s="93" t="s">
        <v>399</v>
      </c>
      <c r="B187" s="93">
        <v>306936843</v>
      </c>
      <c r="C187" s="94">
        <v>4</v>
      </c>
      <c r="D187" s="95" t="s">
        <v>125</v>
      </c>
      <c r="E187" s="96" t="s">
        <v>400</v>
      </c>
      <c r="F187" s="97">
        <v>18240201868</v>
      </c>
      <c r="G187" s="105"/>
      <c r="H187" s="100"/>
      <c r="I187" s="100"/>
      <c r="L187" s="101">
        <v>1672890</v>
      </c>
      <c r="M187" s="102">
        <v>0.113388</v>
      </c>
      <c r="N187" s="103">
        <f t="shared" si="2"/>
        <v>189685.65132</v>
      </c>
      <c r="O187" s="101">
        <v>684881</v>
      </c>
      <c r="P187" s="104">
        <v>3.0800000000000001E-2</v>
      </c>
      <c r="Q187" s="104">
        <v>2.9899999999999999E-2</v>
      </c>
      <c r="R187" s="97">
        <v>40</v>
      </c>
      <c r="S187" s="101">
        <v>435772</v>
      </c>
      <c r="T187" s="101">
        <v>422742</v>
      </c>
      <c r="U187" s="101">
        <v>121</v>
      </c>
      <c r="V187" s="101">
        <v>363702</v>
      </c>
      <c r="W187" s="104">
        <v>0.92100000000000004</v>
      </c>
      <c r="X187" s="101">
        <v>1540732</v>
      </c>
    </row>
    <row r="188" spans="1:24" ht="14">
      <c r="A188" s="93" t="s">
        <v>401</v>
      </c>
      <c r="B188" s="93">
        <v>378885845</v>
      </c>
      <c r="C188" s="94">
        <v>4</v>
      </c>
      <c r="D188" s="95" t="s">
        <v>122</v>
      </c>
      <c r="E188" s="96" t="s">
        <v>130</v>
      </c>
      <c r="F188" s="97">
        <v>17600909327</v>
      </c>
      <c r="G188" s="105" t="s">
        <v>22</v>
      </c>
      <c r="H188" s="100"/>
      <c r="I188" s="100"/>
      <c r="L188" s="101">
        <v>2476182</v>
      </c>
      <c r="M188" s="102">
        <v>1.566E-2</v>
      </c>
      <c r="N188" s="103">
        <f t="shared" si="2"/>
        <v>38777.010119999999</v>
      </c>
      <c r="O188" s="101">
        <v>533122</v>
      </c>
      <c r="P188" s="104">
        <v>0.1588</v>
      </c>
      <c r="Q188" s="104">
        <v>0.15740000000000001</v>
      </c>
      <c r="R188" s="97">
        <v>17</v>
      </c>
      <c r="S188" s="101">
        <v>798211</v>
      </c>
      <c r="T188" s="101">
        <v>672573</v>
      </c>
      <c r="U188" s="101">
        <v>23</v>
      </c>
      <c r="V188" s="101">
        <v>713529</v>
      </c>
      <c r="W188" s="104">
        <v>0.91300000000000003</v>
      </c>
      <c r="X188" s="101">
        <v>2260754</v>
      </c>
    </row>
    <row r="189" spans="1:24" ht="14">
      <c r="A189" s="93" t="s">
        <v>402</v>
      </c>
      <c r="B189" s="93">
        <v>40966108</v>
      </c>
      <c r="C189" s="94">
        <v>4</v>
      </c>
      <c r="D189" s="95" t="s">
        <v>125</v>
      </c>
      <c r="E189" s="96" t="s">
        <v>245</v>
      </c>
      <c r="F189" s="97">
        <v>15600579353</v>
      </c>
      <c r="G189" s="105"/>
      <c r="H189" s="100"/>
      <c r="I189" s="100"/>
      <c r="L189" s="101">
        <v>3091100</v>
      </c>
      <c r="M189" s="102">
        <v>3.2659999999999998E-3</v>
      </c>
      <c r="N189" s="103">
        <f t="shared" si="2"/>
        <v>10095.532599999999</v>
      </c>
      <c r="O189" s="101">
        <v>330129</v>
      </c>
      <c r="P189" s="104">
        <v>0.18790000000000001</v>
      </c>
      <c r="Q189" s="104">
        <v>7.0000000000000001E-3</v>
      </c>
      <c r="R189" s="97">
        <v>10</v>
      </c>
      <c r="S189" s="101">
        <v>1144374</v>
      </c>
      <c r="T189" s="101">
        <v>1136363</v>
      </c>
      <c r="U189" s="101">
        <v>17</v>
      </c>
      <c r="V189" s="101">
        <v>1051113</v>
      </c>
      <c r="W189" s="104">
        <v>0.90800000000000003</v>
      </c>
      <c r="X189" s="101">
        <v>2806719</v>
      </c>
    </row>
    <row r="190" spans="1:24" ht="14">
      <c r="A190" s="93" t="s">
        <v>403</v>
      </c>
      <c r="B190" s="93">
        <v>1335713025</v>
      </c>
      <c r="C190" s="94">
        <v>4</v>
      </c>
      <c r="D190" s="95" t="s">
        <v>125</v>
      </c>
      <c r="E190" s="96" t="s">
        <v>404</v>
      </c>
      <c r="F190" s="97">
        <v>17681291860</v>
      </c>
      <c r="G190" s="105"/>
      <c r="H190" s="100"/>
      <c r="I190" s="100"/>
      <c r="L190" s="101">
        <v>4348022</v>
      </c>
      <c r="M190" s="102">
        <v>4.3600000000000002E-3</v>
      </c>
      <c r="N190" s="103">
        <f t="shared" si="2"/>
        <v>18957.375920000002</v>
      </c>
      <c r="O190" s="101">
        <v>169138</v>
      </c>
      <c r="P190" s="104">
        <v>0.34789999999999999</v>
      </c>
      <c r="Q190" s="104">
        <v>0.1016</v>
      </c>
      <c r="R190" s="97">
        <v>4</v>
      </c>
      <c r="S190" s="101">
        <v>1345080</v>
      </c>
      <c r="T190" s="101">
        <v>1208420</v>
      </c>
      <c r="U190" s="101">
        <v>10</v>
      </c>
      <c r="V190" s="101">
        <v>1347964</v>
      </c>
      <c r="W190" s="104">
        <v>0.90300000000000002</v>
      </c>
      <c r="X190" s="101">
        <v>3926264</v>
      </c>
    </row>
    <row r="191" spans="1:24" ht="14">
      <c r="A191" s="93" t="s">
        <v>405</v>
      </c>
      <c r="B191" s="93">
        <v>33824345</v>
      </c>
      <c r="C191" s="94">
        <v>4</v>
      </c>
      <c r="D191" s="95" t="s">
        <v>125</v>
      </c>
      <c r="E191" s="96" t="s">
        <v>147</v>
      </c>
      <c r="F191" s="97">
        <v>15528284035</v>
      </c>
      <c r="G191" s="105"/>
      <c r="H191" s="100"/>
      <c r="I191" s="100"/>
      <c r="L191" s="101">
        <v>3003741</v>
      </c>
      <c r="M191" s="102">
        <v>6.1009999999999997E-3</v>
      </c>
      <c r="N191" s="103">
        <f t="shared" si="2"/>
        <v>18325.823840999998</v>
      </c>
      <c r="O191" s="101">
        <v>332514</v>
      </c>
      <c r="P191" s="104">
        <v>0.1547</v>
      </c>
      <c r="Q191" s="104">
        <v>0.65810000000000002</v>
      </c>
      <c r="R191" s="97">
        <v>4</v>
      </c>
      <c r="S191" s="101">
        <v>2980281</v>
      </c>
      <c r="T191" s="101">
        <v>1018958</v>
      </c>
      <c r="U191" s="101">
        <v>9</v>
      </c>
      <c r="V191" s="101">
        <v>2986668</v>
      </c>
      <c r="W191" s="104">
        <v>0.84799999999999998</v>
      </c>
      <c r="X191" s="101">
        <v>2547172</v>
      </c>
    </row>
    <row r="192" spans="1:24" ht="14">
      <c r="A192" s="93" t="s">
        <v>406</v>
      </c>
      <c r="B192" s="93">
        <v>16054375</v>
      </c>
      <c r="C192" s="94">
        <v>4</v>
      </c>
      <c r="D192" s="95" t="s">
        <v>125</v>
      </c>
      <c r="E192" s="96" t="s">
        <v>245</v>
      </c>
      <c r="F192" s="97">
        <v>18121398346</v>
      </c>
      <c r="G192" s="105"/>
      <c r="H192" s="100"/>
      <c r="I192" s="100"/>
      <c r="L192" s="101">
        <v>1726122</v>
      </c>
      <c r="M192" s="102">
        <v>9.2820000000000003E-3</v>
      </c>
      <c r="N192" s="103">
        <f t="shared" si="2"/>
        <v>16021.864404</v>
      </c>
      <c r="O192" s="101">
        <v>396663</v>
      </c>
      <c r="P192" s="104">
        <v>0.29580000000000001</v>
      </c>
      <c r="Q192" s="104">
        <v>3.8E-3</v>
      </c>
      <c r="R192" s="97">
        <v>18</v>
      </c>
      <c r="S192" s="101">
        <v>1272595</v>
      </c>
      <c r="T192" s="101">
        <v>1267759</v>
      </c>
      <c r="U192" s="101">
        <v>36</v>
      </c>
      <c r="V192" s="101">
        <v>1400884</v>
      </c>
      <c r="W192" s="104">
        <v>0.84599999999999997</v>
      </c>
      <c r="X192" s="101">
        <v>1460299</v>
      </c>
    </row>
    <row r="193" spans="1:24" ht="14">
      <c r="A193" s="93" t="s">
        <v>55</v>
      </c>
      <c r="B193" s="93">
        <v>63486758</v>
      </c>
      <c r="C193" s="94">
        <v>4</v>
      </c>
      <c r="D193" s="95" t="s">
        <v>122</v>
      </c>
      <c r="E193" s="96" t="s">
        <v>210</v>
      </c>
      <c r="F193" s="97">
        <v>13402850575</v>
      </c>
      <c r="G193" s="105" t="s">
        <v>18</v>
      </c>
      <c r="H193" s="100"/>
      <c r="I193" s="100"/>
      <c r="L193" s="101">
        <v>2685782</v>
      </c>
      <c r="M193" s="102">
        <v>2.0081999999999999E-2</v>
      </c>
      <c r="N193" s="103">
        <f t="shared" si="2"/>
        <v>53935.874123999994</v>
      </c>
      <c r="O193" s="101">
        <v>319608</v>
      </c>
      <c r="P193" s="104">
        <v>2.01E-2</v>
      </c>
      <c r="Q193" s="104">
        <v>3.5200000000000002E-2</v>
      </c>
      <c r="R193" s="97">
        <v>129</v>
      </c>
      <c r="S193" s="101">
        <v>67353</v>
      </c>
      <c r="T193" s="101">
        <v>64982</v>
      </c>
      <c r="U193" s="101">
        <v>176</v>
      </c>
      <c r="V193" s="101">
        <v>98892</v>
      </c>
      <c r="W193" s="104">
        <v>0.90300000000000002</v>
      </c>
      <c r="X193" s="101">
        <v>2425261</v>
      </c>
    </row>
    <row r="194" spans="1:24" ht="14">
      <c r="A194" s="93" t="s">
        <v>407</v>
      </c>
      <c r="B194" s="93">
        <v>284120</v>
      </c>
      <c r="C194" s="94">
        <v>4</v>
      </c>
      <c r="D194" s="95" t="s">
        <v>125</v>
      </c>
      <c r="E194" s="96" t="s">
        <v>253</v>
      </c>
      <c r="F194" s="97">
        <v>15080074219</v>
      </c>
      <c r="G194" s="105"/>
      <c r="H194" s="100"/>
      <c r="I194" s="100"/>
      <c r="L194" s="101">
        <v>2245136</v>
      </c>
      <c r="M194" s="102">
        <v>1.3416000000000001E-2</v>
      </c>
      <c r="N194" s="103">
        <f t="shared" ref="N194:N257" si="3">L194*M194</f>
        <v>30120.744576000001</v>
      </c>
      <c r="O194" s="101">
        <v>181856</v>
      </c>
      <c r="P194" s="104">
        <v>4.6800000000000001E-2</v>
      </c>
      <c r="Q194" s="104">
        <v>2.3400000000000001E-2</v>
      </c>
      <c r="R194" s="97">
        <v>4</v>
      </c>
      <c r="S194" s="101">
        <v>1207685</v>
      </c>
      <c r="T194" s="101">
        <v>1179425</v>
      </c>
      <c r="U194" s="101">
        <v>7</v>
      </c>
      <c r="V194" s="101">
        <v>1362332</v>
      </c>
      <c r="W194" s="104">
        <v>0.92300000000000004</v>
      </c>
      <c r="X194" s="101">
        <v>2072261</v>
      </c>
    </row>
    <row r="195" spans="1:24" ht="14">
      <c r="A195" s="93" t="s">
        <v>408</v>
      </c>
      <c r="B195" s="93">
        <v>1839002753</v>
      </c>
      <c r="C195" s="94">
        <v>4</v>
      </c>
      <c r="D195" s="95" t="s">
        <v>125</v>
      </c>
      <c r="E195" s="96" t="s">
        <v>253</v>
      </c>
      <c r="F195" s="97">
        <v>17177478367</v>
      </c>
      <c r="G195" s="105"/>
      <c r="H195" s="100"/>
      <c r="I195" s="100"/>
      <c r="L195" s="101">
        <v>1689677</v>
      </c>
      <c r="M195" s="102">
        <v>8.5170000000000003E-3</v>
      </c>
      <c r="N195" s="103">
        <f t="shared" si="3"/>
        <v>14390.979009000001</v>
      </c>
      <c r="O195" s="101">
        <v>302452</v>
      </c>
      <c r="P195" s="104">
        <v>9.7500000000000003E-2</v>
      </c>
      <c r="Q195" s="104">
        <v>0.38900000000000001</v>
      </c>
      <c r="R195" s="97">
        <v>5</v>
      </c>
      <c r="S195" s="101">
        <v>1523638</v>
      </c>
      <c r="T195" s="101">
        <v>930943</v>
      </c>
      <c r="U195" s="101">
        <v>11</v>
      </c>
      <c r="V195" s="101">
        <v>1242403</v>
      </c>
      <c r="W195" s="104">
        <v>0.92200000000000004</v>
      </c>
      <c r="X195" s="101">
        <v>1557882</v>
      </c>
    </row>
    <row r="196" spans="1:24" ht="14">
      <c r="A196" s="93" t="s">
        <v>409</v>
      </c>
      <c r="B196" s="93">
        <v>423442</v>
      </c>
      <c r="C196" s="94">
        <v>4</v>
      </c>
      <c r="D196" s="95" t="s">
        <v>125</v>
      </c>
      <c r="E196" s="96" t="s">
        <v>253</v>
      </c>
      <c r="F196" s="97">
        <v>15905192323</v>
      </c>
      <c r="G196" s="105"/>
      <c r="H196" s="100"/>
      <c r="I196" s="100"/>
      <c r="L196" s="101">
        <v>2039712</v>
      </c>
      <c r="M196" s="102">
        <v>6.45E-3</v>
      </c>
      <c r="N196" s="103">
        <f t="shared" si="3"/>
        <v>13156.142400000001</v>
      </c>
      <c r="O196" s="101">
        <v>75469</v>
      </c>
      <c r="P196" s="104">
        <v>9.9299999999999999E-2</v>
      </c>
      <c r="Q196" s="104">
        <v>5.0599999999999999E-2</v>
      </c>
      <c r="R196" s="97">
        <v>3</v>
      </c>
      <c r="S196" s="101">
        <v>1641643</v>
      </c>
      <c r="T196" s="101">
        <v>1558576</v>
      </c>
      <c r="U196" s="101">
        <v>6</v>
      </c>
      <c r="V196" s="101">
        <v>1770396</v>
      </c>
      <c r="W196" s="104">
        <v>0.92200000000000004</v>
      </c>
      <c r="X196" s="101">
        <v>1880614</v>
      </c>
    </row>
    <row r="197" spans="1:24" ht="14">
      <c r="A197" s="93" t="s">
        <v>410</v>
      </c>
      <c r="B197" s="93">
        <v>337312411</v>
      </c>
      <c r="C197" s="94">
        <v>4</v>
      </c>
      <c r="D197" s="95" t="s">
        <v>125</v>
      </c>
      <c r="E197" s="96" t="s">
        <v>253</v>
      </c>
      <c r="F197" s="97">
        <v>18329034596</v>
      </c>
      <c r="G197" s="105"/>
      <c r="H197" s="100"/>
      <c r="I197" s="100"/>
      <c r="L197" s="101">
        <v>2123186</v>
      </c>
      <c r="M197" s="102">
        <v>8.8920000000000006E-3</v>
      </c>
      <c r="N197" s="103">
        <f t="shared" si="3"/>
        <v>18879.369912000002</v>
      </c>
      <c r="O197" s="101">
        <v>228030</v>
      </c>
      <c r="P197" s="104">
        <v>0.15659999999999999</v>
      </c>
      <c r="Q197" s="104">
        <v>9.5399999999999999E-2</v>
      </c>
      <c r="R197" s="97">
        <v>5</v>
      </c>
      <c r="S197" s="101">
        <v>1481100</v>
      </c>
      <c r="T197" s="101">
        <v>1339803</v>
      </c>
      <c r="U197" s="101">
        <v>8</v>
      </c>
      <c r="V197" s="101">
        <v>1429026</v>
      </c>
      <c r="W197" s="104">
        <v>0.90100000000000002</v>
      </c>
      <c r="X197" s="101">
        <v>1912991</v>
      </c>
    </row>
    <row r="198" spans="1:24" ht="14">
      <c r="A198" s="93" t="s">
        <v>411</v>
      </c>
      <c r="B198" s="93">
        <v>207261582</v>
      </c>
      <c r="C198" s="94">
        <v>4</v>
      </c>
      <c r="D198" s="95" t="s">
        <v>122</v>
      </c>
      <c r="E198" s="96" t="s">
        <v>412</v>
      </c>
      <c r="F198" s="97">
        <v>17673497274</v>
      </c>
      <c r="G198" s="105" t="s">
        <v>137</v>
      </c>
      <c r="H198" s="100"/>
      <c r="I198" s="100"/>
      <c r="L198" s="101">
        <v>1940599</v>
      </c>
      <c r="M198" s="102">
        <v>2.8440000000000002E-3</v>
      </c>
      <c r="N198" s="103">
        <f t="shared" si="3"/>
        <v>5519.0635560000001</v>
      </c>
      <c r="O198" s="101">
        <v>123422</v>
      </c>
      <c r="P198" s="104">
        <v>0.29380000000000001</v>
      </c>
      <c r="Q198" s="104">
        <v>0.2102</v>
      </c>
      <c r="R198" s="97">
        <v>3</v>
      </c>
      <c r="S198" s="101">
        <v>1058323</v>
      </c>
      <c r="T198" s="101">
        <v>835864</v>
      </c>
      <c r="U198" s="101">
        <v>14</v>
      </c>
      <c r="V198" s="101">
        <v>754912</v>
      </c>
      <c r="W198" s="104">
        <v>0.89</v>
      </c>
      <c r="X198" s="101">
        <v>1727133</v>
      </c>
    </row>
    <row r="199" spans="1:24" ht="14">
      <c r="A199" s="93" t="s">
        <v>413</v>
      </c>
      <c r="B199" s="93">
        <v>19071708</v>
      </c>
      <c r="C199" s="94">
        <v>4</v>
      </c>
      <c r="D199" s="95" t="s">
        <v>125</v>
      </c>
      <c r="E199" s="96" t="s">
        <v>276</v>
      </c>
      <c r="F199" s="97">
        <v>13143371634</v>
      </c>
      <c r="G199" s="105"/>
      <c r="H199" s="100"/>
      <c r="I199" s="100"/>
      <c r="L199" s="101">
        <v>2202487</v>
      </c>
      <c r="M199" s="102">
        <v>3.9919999999999999E-3</v>
      </c>
      <c r="N199" s="103">
        <f t="shared" si="3"/>
        <v>8792.3281040000002</v>
      </c>
      <c r="O199" s="101">
        <v>296895</v>
      </c>
      <c r="P199" s="104">
        <v>0.2238</v>
      </c>
      <c r="Q199" s="104">
        <v>8.5000000000000006E-3</v>
      </c>
      <c r="R199" s="97">
        <v>13</v>
      </c>
      <c r="S199" s="101">
        <v>1058280</v>
      </c>
      <c r="T199" s="101">
        <v>1049285</v>
      </c>
      <c r="U199" s="101">
        <v>22</v>
      </c>
      <c r="V199" s="101">
        <v>1133836</v>
      </c>
      <c r="W199" s="104">
        <v>0.876</v>
      </c>
      <c r="X199" s="101">
        <v>1929379</v>
      </c>
    </row>
    <row r="200" spans="1:24" ht="14">
      <c r="A200" s="93" t="s">
        <v>414</v>
      </c>
      <c r="B200" s="93">
        <v>9728698</v>
      </c>
      <c r="C200" s="94">
        <v>4</v>
      </c>
      <c r="D200" s="95" t="s">
        <v>125</v>
      </c>
      <c r="E200" s="96" t="s">
        <v>339</v>
      </c>
      <c r="F200" s="97">
        <v>13712333637</v>
      </c>
      <c r="G200" s="105"/>
      <c r="H200" s="100"/>
      <c r="I200" s="100"/>
      <c r="L200" s="101">
        <v>1977223</v>
      </c>
      <c r="M200" s="102">
        <v>4.1879999999999999E-3</v>
      </c>
      <c r="N200" s="103">
        <f t="shared" si="3"/>
        <v>8280.6099240000003</v>
      </c>
      <c r="O200" s="101">
        <v>176566</v>
      </c>
      <c r="P200" s="104">
        <v>0.34110000000000001</v>
      </c>
      <c r="Q200" s="104">
        <v>0.5181</v>
      </c>
      <c r="R200" s="97">
        <v>14</v>
      </c>
      <c r="S200" s="101">
        <v>2319072</v>
      </c>
      <c r="T200" s="101">
        <v>1117561</v>
      </c>
      <c r="U200" s="101">
        <v>27</v>
      </c>
      <c r="V200" s="101">
        <v>2527602</v>
      </c>
      <c r="W200" s="104">
        <v>0.86899999999999999</v>
      </c>
      <c r="X200" s="101">
        <v>1718207</v>
      </c>
    </row>
    <row r="201" spans="1:24" ht="14">
      <c r="A201" s="93" t="s">
        <v>415</v>
      </c>
      <c r="B201" s="93">
        <v>1982668634</v>
      </c>
      <c r="C201" s="94">
        <v>4</v>
      </c>
      <c r="D201" s="95" t="s">
        <v>122</v>
      </c>
      <c r="E201" s="96" t="s">
        <v>272</v>
      </c>
      <c r="F201" s="97">
        <v>15989274248</v>
      </c>
      <c r="G201" s="105" t="s">
        <v>26</v>
      </c>
      <c r="H201" s="99" t="s">
        <v>155</v>
      </c>
      <c r="I201" s="100" t="s">
        <v>257</v>
      </c>
      <c r="J201" t="s">
        <v>416</v>
      </c>
      <c r="L201" s="101">
        <v>2037924</v>
      </c>
      <c r="M201" s="102">
        <v>3.1050000000000001E-3</v>
      </c>
      <c r="N201" s="103">
        <f t="shared" si="3"/>
        <v>6327.7540200000003</v>
      </c>
      <c r="O201" s="101">
        <v>169148</v>
      </c>
      <c r="P201" s="104">
        <v>0.45960000000000001</v>
      </c>
      <c r="Q201" s="104">
        <v>0.76949999999999996</v>
      </c>
      <c r="R201" s="97">
        <v>5</v>
      </c>
      <c r="S201" s="101">
        <v>4378163</v>
      </c>
      <c r="T201" s="101">
        <v>1009167</v>
      </c>
      <c r="U201" s="101">
        <v>8</v>
      </c>
      <c r="V201" s="101">
        <v>4715453</v>
      </c>
      <c r="W201" s="104">
        <v>0.86299999999999999</v>
      </c>
      <c r="X201" s="101">
        <v>1758728</v>
      </c>
    </row>
    <row r="202" spans="1:24" ht="14">
      <c r="A202" s="93" t="s">
        <v>417</v>
      </c>
      <c r="B202" s="93">
        <v>179922650</v>
      </c>
      <c r="C202" s="94">
        <v>4</v>
      </c>
      <c r="D202" s="95" t="s">
        <v>125</v>
      </c>
      <c r="E202" s="96" t="s">
        <v>147</v>
      </c>
      <c r="F202" s="97">
        <v>17853933612</v>
      </c>
      <c r="G202" s="105"/>
      <c r="H202" s="100"/>
      <c r="I202" s="100"/>
      <c r="L202" s="101">
        <v>2212904</v>
      </c>
      <c r="M202" s="102">
        <v>8.3440000000000007E-3</v>
      </c>
      <c r="N202" s="103">
        <f t="shared" si="3"/>
        <v>18464.470976000001</v>
      </c>
      <c r="O202" s="101">
        <v>188539</v>
      </c>
      <c r="P202" s="104">
        <v>0.253</v>
      </c>
      <c r="Q202" s="104">
        <v>0.4229</v>
      </c>
      <c r="R202" s="97">
        <v>4</v>
      </c>
      <c r="S202" s="101">
        <v>1507803</v>
      </c>
      <c r="T202" s="101">
        <v>870153</v>
      </c>
      <c r="U202" s="101">
        <v>24</v>
      </c>
      <c r="V202" s="101">
        <v>672973</v>
      </c>
      <c r="W202" s="104">
        <v>0.85</v>
      </c>
      <c r="X202" s="101">
        <v>1880968</v>
      </c>
    </row>
    <row r="203" spans="1:24" ht="14">
      <c r="A203" s="93" t="s">
        <v>418</v>
      </c>
      <c r="B203" s="93">
        <v>1455861172</v>
      </c>
      <c r="C203" s="94">
        <v>4</v>
      </c>
      <c r="D203" s="95" t="s">
        <v>125</v>
      </c>
      <c r="E203" s="96" t="s">
        <v>356</v>
      </c>
      <c r="F203" s="97">
        <v>13980737604</v>
      </c>
      <c r="G203" s="105" t="s">
        <v>184</v>
      </c>
      <c r="H203" s="100"/>
      <c r="I203" s="100"/>
      <c r="L203" s="101">
        <v>2411176</v>
      </c>
      <c r="M203" s="102">
        <v>2.7209999999999999E-3</v>
      </c>
      <c r="N203" s="103">
        <f t="shared" si="3"/>
        <v>6560.8098959999998</v>
      </c>
      <c r="O203" s="101">
        <v>261130</v>
      </c>
      <c r="P203" s="104">
        <v>0.22720000000000001</v>
      </c>
      <c r="Q203" s="104">
        <v>0.80130000000000001</v>
      </c>
      <c r="R203" s="97">
        <v>9</v>
      </c>
      <c r="S203" s="101">
        <v>4049096</v>
      </c>
      <c r="T203" s="101">
        <v>804555</v>
      </c>
      <c r="U203" s="101">
        <v>11</v>
      </c>
      <c r="V203" s="101">
        <v>4364984</v>
      </c>
      <c r="W203" s="104">
        <v>0.83</v>
      </c>
      <c r="X203" s="101">
        <v>2001276</v>
      </c>
    </row>
    <row r="204" spans="1:24" ht="14">
      <c r="A204" s="93" t="s">
        <v>419</v>
      </c>
      <c r="B204" s="93">
        <v>322595106</v>
      </c>
      <c r="C204" s="94">
        <v>4</v>
      </c>
      <c r="D204" s="95" t="s">
        <v>125</v>
      </c>
      <c r="E204" s="96" t="s">
        <v>147</v>
      </c>
      <c r="F204" s="97">
        <v>15077101902</v>
      </c>
      <c r="G204" s="105"/>
      <c r="H204" s="100"/>
      <c r="I204" s="100"/>
      <c r="L204" s="101">
        <v>1120507</v>
      </c>
      <c r="M204" s="102">
        <v>0.14637700000000001</v>
      </c>
      <c r="N204" s="103">
        <f t="shared" si="3"/>
        <v>164016.45313900002</v>
      </c>
      <c r="O204" s="101">
        <v>338729</v>
      </c>
      <c r="P204" s="104">
        <v>4.1799999999999997E-2</v>
      </c>
      <c r="Q204" s="104">
        <v>2.7E-2</v>
      </c>
      <c r="R204" s="97">
        <v>17</v>
      </c>
      <c r="S204" s="101">
        <v>652576</v>
      </c>
      <c r="T204" s="101">
        <v>634939</v>
      </c>
      <c r="U204" s="101">
        <v>31</v>
      </c>
      <c r="V204" s="101">
        <v>686682</v>
      </c>
      <c r="W204" s="104">
        <v>0.93799999999999994</v>
      </c>
      <c r="X204" s="101">
        <v>1051036</v>
      </c>
    </row>
    <row r="205" spans="1:24" ht="14">
      <c r="A205" s="93" t="s">
        <v>420</v>
      </c>
      <c r="B205" s="93">
        <v>28266043</v>
      </c>
      <c r="C205" s="94">
        <v>4</v>
      </c>
      <c r="D205" s="95" t="s">
        <v>125</v>
      </c>
      <c r="E205" s="96" t="s">
        <v>147</v>
      </c>
      <c r="F205" s="97">
        <v>18629316565</v>
      </c>
      <c r="G205" s="105"/>
      <c r="H205" s="100"/>
      <c r="I205" s="100"/>
      <c r="L205" s="101">
        <v>1445518</v>
      </c>
      <c r="M205" s="102">
        <v>4.5331000000000003E-2</v>
      </c>
      <c r="N205" s="103">
        <f t="shared" si="3"/>
        <v>65526.776458000008</v>
      </c>
      <c r="O205" s="101">
        <v>392314</v>
      </c>
      <c r="P205" s="104">
        <v>0.14799999999999999</v>
      </c>
      <c r="Q205" s="104">
        <v>0.375</v>
      </c>
      <c r="R205" s="97">
        <v>11</v>
      </c>
      <c r="S205" s="101">
        <v>662554</v>
      </c>
      <c r="T205" s="101">
        <v>414096</v>
      </c>
      <c r="U205" s="101">
        <v>17</v>
      </c>
      <c r="V205" s="101">
        <v>695241</v>
      </c>
      <c r="W205" s="104">
        <v>0.92500000000000004</v>
      </c>
      <c r="X205" s="101">
        <v>1337104</v>
      </c>
    </row>
    <row r="206" spans="1:24" ht="14">
      <c r="A206" s="93" t="s">
        <v>421</v>
      </c>
      <c r="B206" s="93">
        <v>480680646</v>
      </c>
      <c r="C206" s="94">
        <v>4</v>
      </c>
      <c r="D206" s="95" t="s">
        <v>122</v>
      </c>
      <c r="E206" s="96" t="s">
        <v>422</v>
      </c>
      <c r="F206" s="97">
        <v>23333330214</v>
      </c>
      <c r="G206" s="105" t="s">
        <v>22</v>
      </c>
      <c r="H206" s="100"/>
      <c r="I206" s="100"/>
      <c r="L206" s="101">
        <v>1644261</v>
      </c>
      <c r="M206" s="102">
        <v>3.4859000000000001E-2</v>
      </c>
      <c r="N206" s="103">
        <f t="shared" si="3"/>
        <v>57317.294199000004</v>
      </c>
      <c r="O206" s="101">
        <v>471903</v>
      </c>
      <c r="P206" s="104">
        <v>8.5300000000000001E-2</v>
      </c>
      <c r="Q206" s="104">
        <v>9.1700000000000004E-2</v>
      </c>
      <c r="R206" s="97">
        <v>109</v>
      </c>
      <c r="S206" s="101">
        <v>82187</v>
      </c>
      <c r="T206" s="101">
        <v>74650</v>
      </c>
      <c r="U206" s="101">
        <v>209</v>
      </c>
      <c r="V206" s="101">
        <v>79636</v>
      </c>
      <c r="W206" s="104">
        <v>0.85299999999999998</v>
      </c>
      <c r="X206" s="101">
        <v>1402555</v>
      </c>
    </row>
    <row r="207" spans="1:24" ht="14">
      <c r="A207" s="93" t="s">
        <v>423</v>
      </c>
      <c r="B207" s="108" t="s">
        <v>424</v>
      </c>
      <c r="C207" s="94">
        <v>4</v>
      </c>
      <c r="D207" s="95" t="s">
        <v>125</v>
      </c>
      <c r="E207" s="96" t="s">
        <v>147</v>
      </c>
      <c r="F207" s="97">
        <v>15213792445</v>
      </c>
      <c r="G207" s="105"/>
      <c r="H207" s="100"/>
      <c r="I207" s="100"/>
      <c r="L207" s="101">
        <v>1682708</v>
      </c>
      <c r="M207" s="102">
        <v>3.3265000000000003E-2</v>
      </c>
      <c r="N207" s="103">
        <f t="shared" si="3"/>
        <v>55975.281620000002</v>
      </c>
      <c r="O207" s="101">
        <v>588275</v>
      </c>
      <c r="P207" s="104">
        <v>0.1032</v>
      </c>
      <c r="Q207" s="104">
        <v>0.40760000000000002</v>
      </c>
      <c r="R207" s="97">
        <v>30</v>
      </c>
      <c r="S207" s="101">
        <v>465859</v>
      </c>
      <c r="T207" s="101">
        <v>275975</v>
      </c>
      <c r="U207" s="101">
        <v>42</v>
      </c>
      <c r="V207" s="101">
        <v>685379</v>
      </c>
      <c r="W207" s="104">
        <v>0.64670000000000005</v>
      </c>
      <c r="X207" s="101">
        <v>1088207</v>
      </c>
    </row>
    <row r="208" spans="1:24" ht="14">
      <c r="A208" s="93" t="s">
        <v>425</v>
      </c>
      <c r="B208" s="93">
        <v>808171</v>
      </c>
      <c r="C208" s="94">
        <v>4</v>
      </c>
      <c r="D208" s="95" t="s">
        <v>125</v>
      </c>
      <c r="E208" s="96" t="s">
        <v>426</v>
      </c>
      <c r="F208" s="97">
        <v>15000367796</v>
      </c>
      <c r="G208" s="105"/>
      <c r="H208" s="100"/>
      <c r="I208" s="100"/>
      <c r="L208" s="101">
        <v>2600829</v>
      </c>
      <c r="M208" s="102">
        <v>1.6476000000000001E-2</v>
      </c>
      <c r="N208" s="103">
        <f t="shared" si="3"/>
        <v>42851.258604000002</v>
      </c>
      <c r="O208" s="101">
        <v>241877</v>
      </c>
      <c r="P208" s="104">
        <v>0.44540000000000002</v>
      </c>
      <c r="Q208" s="104">
        <v>6.7799999999999999E-2</v>
      </c>
      <c r="R208" s="97">
        <v>20</v>
      </c>
      <c r="S208" s="101">
        <v>455510</v>
      </c>
      <c r="T208" s="101">
        <v>424626</v>
      </c>
      <c r="U208" s="101">
        <v>23</v>
      </c>
      <c r="V208" s="101">
        <v>488020</v>
      </c>
      <c r="W208" s="104">
        <v>0.92900000000000005</v>
      </c>
      <c r="X208" s="101">
        <v>2416170</v>
      </c>
    </row>
    <row r="209" spans="1:24" ht="14">
      <c r="A209" s="93" t="s">
        <v>427</v>
      </c>
      <c r="B209" s="93">
        <v>10698584</v>
      </c>
      <c r="C209" s="94">
        <v>4</v>
      </c>
      <c r="D209" s="95" t="s">
        <v>122</v>
      </c>
      <c r="E209" s="96" t="s">
        <v>130</v>
      </c>
      <c r="F209" s="97">
        <v>15098586263</v>
      </c>
      <c r="G209" s="105" t="s">
        <v>137</v>
      </c>
      <c r="H209" s="100"/>
      <c r="I209" s="100"/>
      <c r="L209" s="101">
        <v>1788715</v>
      </c>
      <c r="M209" s="102">
        <v>5.3363000000000001E-2</v>
      </c>
      <c r="N209" s="103">
        <f t="shared" si="3"/>
        <v>95451.198545000007</v>
      </c>
      <c r="O209" s="101">
        <v>223053</v>
      </c>
      <c r="P209" s="104">
        <v>4.8300000000000003E-2</v>
      </c>
      <c r="Q209" s="104">
        <v>1.2999999999999999E-2</v>
      </c>
      <c r="R209" s="97">
        <v>9</v>
      </c>
      <c r="S209" s="101">
        <v>664755</v>
      </c>
      <c r="T209" s="101">
        <v>656113</v>
      </c>
      <c r="U209" s="101">
        <v>19</v>
      </c>
      <c r="V209" s="101">
        <v>595873</v>
      </c>
      <c r="W209" s="104">
        <v>0.90700000000000003</v>
      </c>
      <c r="X209" s="101">
        <v>1622365</v>
      </c>
    </row>
    <row r="210" spans="1:24" ht="14">
      <c r="A210" s="93" t="s">
        <v>428</v>
      </c>
      <c r="B210" s="93">
        <v>452309333</v>
      </c>
      <c r="C210" s="94">
        <v>4</v>
      </c>
      <c r="D210" s="95" t="s">
        <v>125</v>
      </c>
      <c r="E210" s="96" t="s">
        <v>429</v>
      </c>
      <c r="F210" s="97">
        <v>13133512333</v>
      </c>
      <c r="G210" s="105"/>
      <c r="H210" s="100"/>
      <c r="I210" s="100"/>
      <c r="L210" s="101">
        <v>1874274</v>
      </c>
      <c r="M210" s="102">
        <v>2.4407000000000002E-2</v>
      </c>
      <c r="N210" s="103">
        <f t="shared" si="3"/>
        <v>45745.405518</v>
      </c>
      <c r="O210" s="101">
        <v>211980</v>
      </c>
      <c r="P210" s="104">
        <v>0.12770000000000001</v>
      </c>
      <c r="Q210" s="104">
        <v>7.9000000000000008E-3</v>
      </c>
      <c r="R210" s="97">
        <v>24</v>
      </c>
      <c r="S210" s="101">
        <v>428927</v>
      </c>
      <c r="T210" s="101">
        <v>425523</v>
      </c>
      <c r="U210" s="101">
        <v>44</v>
      </c>
      <c r="V210" s="101">
        <v>443707</v>
      </c>
      <c r="W210" s="104">
        <v>0.89600000000000002</v>
      </c>
      <c r="X210" s="101">
        <v>1679350</v>
      </c>
    </row>
    <row r="211" spans="1:24" ht="14">
      <c r="A211" s="93" t="s">
        <v>430</v>
      </c>
      <c r="B211" s="93">
        <v>15960317</v>
      </c>
      <c r="C211" s="94">
        <v>4</v>
      </c>
      <c r="D211" s="95" t="s">
        <v>125</v>
      </c>
      <c r="E211" s="96" t="s">
        <v>431</v>
      </c>
      <c r="F211" s="97">
        <v>15274561269</v>
      </c>
      <c r="G211" s="105"/>
      <c r="H211" s="100"/>
      <c r="I211" s="100"/>
      <c r="L211" s="101">
        <v>3383646</v>
      </c>
      <c r="M211" s="102">
        <v>9.7190000000000002E-3</v>
      </c>
      <c r="N211" s="103">
        <f t="shared" si="3"/>
        <v>32885.655473999999</v>
      </c>
      <c r="O211" s="101">
        <v>369833</v>
      </c>
      <c r="P211" s="104">
        <v>0.17829999999999999</v>
      </c>
      <c r="Q211" s="104">
        <v>0.42909999999999998</v>
      </c>
      <c r="R211" s="97">
        <v>16</v>
      </c>
      <c r="S211" s="101">
        <v>931528</v>
      </c>
      <c r="T211" s="101">
        <v>531809</v>
      </c>
      <c r="U211" s="101">
        <v>36</v>
      </c>
      <c r="V211" s="101">
        <v>877440</v>
      </c>
      <c r="W211" s="104">
        <v>0.90600000000000003</v>
      </c>
      <c r="X211" s="101">
        <v>3065583</v>
      </c>
    </row>
    <row r="212" spans="1:24" ht="14">
      <c r="A212" s="93" t="s">
        <v>432</v>
      </c>
      <c r="B212" s="93">
        <v>11253297</v>
      </c>
      <c r="C212" s="94">
        <v>4</v>
      </c>
      <c r="D212" s="95" t="s">
        <v>122</v>
      </c>
      <c r="E212" s="96" t="s">
        <v>422</v>
      </c>
      <c r="F212" s="97">
        <v>18655570590</v>
      </c>
      <c r="G212" s="105" t="s">
        <v>26</v>
      </c>
      <c r="H212" s="99" t="s">
        <v>155</v>
      </c>
      <c r="I212" s="100"/>
      <c r="J212" t="s">
        <v>433</v>
      </c>
      <c r="L212" s="101">
        <v>3040317</v>
      </c>
      <c r="M212" s="102">
        <v>2.287E-3</v>
      </c>
      <c r="N212" s="103">
        <f t="shared" si="3"/>
        <v>6953.2049790000001</v>
      </c>
      <c r="O212" s="101">
        <v>684071</v>
      </c>
      <c r="P212" s="104">
        <v>0.27279999999999999</v>
      </c>
      <c r="Q212" s="104">
        <v>0.02</v>
      </c>
      <c r="R212" s="97">
        <v>6</v>
      </c>
      <c r="S212" s="101">
        <v>545538</v>
      </c>
      <c r="T212" s="101">
        <v>534627</v>
      </c>
      <c r="U212" s="101">
        <v>10</v>
      </c>
      <c r="V212" s="101">
        <v>513484</v>
      </c>
      <c r="W212" s="104">
        <v>0.89</v>
      </c>
      <c r="X212" s="101">
        <v>2705882</v>
      </c>
    </row>
    <row r="213" spans="1:24" ht="14">
      <c r="A213" s="93" t="s">
        <v>434</v>
      </c>
      <c r="B213" s="93">
        <v>274724919</v>
      </c>
      <c r="C213" s="94">
        <v>4</v>
      </c>
      <c r="D213" s="95" t="s">
        <v>125</v>
      </c>
      <c r="E213" s="96" t="s">
        <v>132</v>
      </c>
      <c r="F213" s="97">
        <v>18200132271</v>
      </c>
      <c r="G213" s="105"/>
      <c r="H213" s="100"/>
      <c r="I213" s="100"/>
      <c r="L213" s="101">
        <v>1085967</v>
      </c>
      <c r="M213" s="102">
        <v>3.2948999999999999E-2</v>
      </c>
      <c r="N213" s="103">
        <f t="shared" si="3"/>
        <v>35781.526682999996</v>
      </c>
      <c r="O213" s="101">
        <v>146714</v>
      </c>
      <c r="P213" s="104">
        <v>0.2772</v>
      </c>
      <c r="Q213" s="104">
        <v>0.1053</v>
      </c>
      <c r="R213" s="97">
        <v>5</v>
      </c>
      <c r="S213" s="101">
        <v>1476278</v>
      </c>
      <c r="T213" s="101">
        <v>1320880</v>
      </c>
      <c r="U213" s="101">
        <v>15</v>
      </c>
      <c r="V213" s="101">
        <v>1017521</v>
      </c>
      <c r="W213" s="104">
        <v>0.90800000000000003</v>
      </c>
      <c r="X213" s="101">
        <v>986058</v>
      </c>
    </row>
    <row r="214" spans="1:24" ht="14">
      <c r="A214" s="93" t="s">
        <v>435</v>
      </c>
      <c r="B214" s="93">
        <v>158119101</v>
      </c>
      <c r="C214" s="94">
        <v>4</v>
      </c>
      <c r="D214" s="95" t="s">
        <v>125</v>
      </c>
      <c r="E214" s="96" t="s">
        <v>436</v>
      </c>
      <c r="F214" s="97">
        <v>19818954679</v>
      </c>
      <c r="G214" s="105"/>
      <c r="H214" s="100"/>
      <c r="I214" s="100"/>
      <c r="L214" s="101">
        <v>1336746</v>
      </c>
      <c r="M214" s="102">
        <v>1.8253999999999999E-2</v>
      </c>
      <c r="N214" s="103">
        <f t="shared" si="3"/>
        <v>24400.961483999999</v>
      </c>
      <c r="O214" s="101">
        <v>133006</v>
      </c>
      <c r="P214" s="104">
        <v>0.18149999999999999</v>
      </c>
      <c r="Q214" s="104">
        <v>0.38890000000000002</v>
      </c>
      <c r="R214" s="97">
        <v>3</v>
      </c>
      <c r="S214" s="101">
        <v>1245553</v>
      </c>
      <c r="T214" s="101">
        <v>761171</v>
      </c>
      <c r="U214" s="101">
        <v>5</v>
      </c>
      <c r="V214" s="101">
        <v>1164963</v>
      </c>
      <c r="W214" s="104">
        <v>0.90700000000000003</v>
      </c>
      <c r="X214" s="101">
        <v>1212429</v>
      </c>
    </row>
    <row r="215" spans="1:24" ht="14">
      <c r="A215" s="93" t="s">
        <v>437</v>
      </c>
      <c r="B215" s="93">
        <v>5374954</v>
      </c>
      <c r="C215" s="94">
        <v>4</v>
      </c>
      <c r="D215" s="95" t="s">
        <v>125</v>
      </c>
      <c r="E215" s="96" t="s">
        <v>245</v>
      </c>
      <c r="F215" s="97">
        <v>18918315611</v>
      </c>
      <c r="G215" s="105"/>
      <c r="H215" s="100"/>
      <c r="I215" s="100"/>
      <c r="L215" s="101">
        <v>1612584</v>
      </c>
      <c r="M215" s="102">
        <v>3.042E-3</v>
      </c>
      <c r="N215" s="103">
        <f t="shared" si="3"/>
        <v>4905.480528</v>
      </c>
      <c r="O215" s="101">
        <v>126265</v>
      </c>
      <c r="P215" s="104">
        <v>0.26300000000000001</v>
      </c>
      <c r="Q215" s="104">
        <v>3.3700000000000001E-2</v>
      </c>
      <c r="R215" s="97">
        <v>6</v>
      </c>
      <c r="S215" s="101">
        <v>1309517</v>
      </c>
      <c r="T215" s="101">
        <v>1265386</v>
      </c>
      <c r="U215" s="101">
        <v>10</v>
      </c>
      <c r="V215" s="101">
        <v>1514474</v>
      </c>
      <c r="W215" s="104">
        <v>0.88800000000000001</v>
      </c>
      <c r="X215" s="101">
        <v>1431975</v>
      </c>
    </row>
    <row r="216" spans="1:24" ht="14">
      <c r="A216" s="93" t="s">
        <v>438</v>
      </c>
      <c r="B216" s="93">
        <v>96070394</v>
      </c>
      <c r="C216" s="94">
        <v>4</v>
      </c>
      <c r="D216" s="95" t="s">
        <v>125</v>
      </c>
      <c r="E216" s="96" t="s">
        <v>245</v>
      </c>
      <c r="F216" s="97">
        <v>18540144976</v>
      </c>
      <c r="G216" s="105"/>
      <c r="H216" s="100"/>
      <c r="I216" s="100"/>
      <c r="L216" s="101">
        <v>1611772</v>
      </c>
      <c r="M216" s="102">
        <v>2.8479999999999998E-3</v>
      </c>
      <c r="N216" s="103">
        <f t="shared" si="3"/>
        <v>4590.3266560000002</v>
      </c>
      <c r="O216" s="101">
        <v>121528</v>
      </c>
      <c r="P216" s="104">
        <v>0.51949999999999996</v>
      </c>
      <c r="Q216" s="104">
        <v>1.44E-2</v>
      </c>
      <c r="R216" s="97">
        <v>9</v>
      </c>
      <c r="S216" s="101">
        <v>1056148</v>
      </c>
      <c r="T216" s="101">
        <v>1040939</v>
      </c>
      <c r="U216" s="101">
        <v>13</v>
      </c>
      <c r="V216" s="101">
        <v>1110706</v>
      </c>
      <c r="W216" s="104">
        <v>0.874</v>
      </c>
      <c r="X216" s="101">
        <v>1408689</v>
      </c>
    </row>
    <row r="217" spans="1:24" ht="14">
      <c r="A217" s="93" t="s">
        <v>439</v>
      </c>
      <c r="B217" s="93">
        <v>394609671</v>
      </c>
      <c r="C217" s="94">
        <v>3</v>
      </c>
      <c r="D217" s="95" t="s">
        <v>125</v>
      </c>
      <c r="E217" s="96" t="s">
        <v>167</v>
      </c>
      <c r="F217" s="97">
        <v>13263227755</v>
      </c>
      <c r="G217" s="105"/>
      <c r="H217" s="100"/>
      <c r="I217" s="100"/>
      <c r="L217" s="101">
        <v>2446954</v>
      </c>
      <c r="M217" s="102">
        <v>6.4749999999999999E-3</v>
      </c>
      <c r="N217" s="103">
        <f t="shared" si="3"/>
        <v>15844.02715</v>
      </c>
      <c r="O217" s="101">
        <v>515818</v>
      </c>
      <c r="P217" s="104">
        <v>0.29959999999999998</v>
      </c>
      <c r="Q217" s="104">
        <v>0.77990000000000004</v>
      </c>
      <c r="R217" s="97">
        <v>6</v>
      </c>
      <c r="S217" s="101">
        <v>1664680</v>
      </c>
      <c r="T217" s="101">
        <v>366396</v>
      </c>
      <c r="U217" s="101">
        <v>10</v>
      </c>
      <c r="V217" s="101">
        <v>1687488</v>
      </c>
      <c r="W217" s="104">
        <v>0.92</v>
      </c>
      <c r="X217" s="101">
        <v>2251198</v>
      </c>
    </row>
    <row r="218" spans="1:24" ht="14">
      <c r="A218" s="93" t="s">
        <v>440</v>
      </c>
      <c r="B218" s="93">
        <v>295723</v>
      </c>
      <c r="C218" s="94">
        <v>3</v>
      </c>
      <c r="D218" s="95" t="s">
        <v>125</v>
      </c>
      <c r="E218" s="96" t="s">
        <v>276</v>
      </c>
      <c r="F218" s="97">
        <v>18783817150</v>
      </c>
      <c r="G218" s="105"/>
      <c r="H218" s="100"/>
      <c r="I218" s="100"/>
      <c r="L218" s="101">
        <v>2209489</v>
      </c>
      <c r="M218" s="102">
        <v>6.1999999999999998E-3</v>
      </c>
      <c r="N218" s="103">
        <f t="shared" si="3"/>
        <v>13698.8318</v>
      </c>
      <c r="O218" s="101">
        <v>478796</v>
      </c>
      <c r="P218" s="104">
        <v>2.6200000000000001E-2</v>
      </c>
      <c r="Q218" s="104">
        <v>0.39510000000000001</v>
      </c>
      <c r="R218" s="97">
        <v>6</v>
      </c>
      <c r="S218" s="101">
        <v>608743</v>
      </c>
      <c r="T218" s="101">
        <v>368229</v>
      </c>
      <c r="U218" s="101">
        <v>12</v>
      </c>
      <c r="V218" s="101">
        <v>516628</v>
      </c>
      <c r="W218" s="104">
        <v>0.91700000000000004</v>
      </c>
      <c r="X218" s="101">
        <v>2026101</v>
      </c>
    </row>
    <row r="219" spans="1:24" ht="14">
      <c r="A219" s="93" t="s">
        <v>441</v>
      </c>
      <c r="B219" s="93">
        <v>304578055</v>
      </c>
      <c r="C219" s="94">
        <v>3</v>
      </c>
      <c r="D219" s="95" t="s">
        <v>125</v>
      </c>
      <c r="E219" s="96" t="s">
        <v>356</v>
      </c>
      <c r="F219" s="97">
        <v>15998133173</v>
      </c>
      <c r="G219" s="105"/>
      <c r="H219" s="100"/>
      <c r="I219" s="100"/>
      <c r="L219" s="101">
        <v>2356904</v>
      </c>
      <c r="M219" s="102">
        <v>4.9449999999999997E-3</v>
      </c>
      <c r="N219" s="103">
        <f t="shared" si="3"/>
        <v>11654.89028</v>
      </c>
      <c r="O219" s="101">
        <v>547980</v>
      </c>
      <c r="P219" s="104">
        <v>0.16400000000000001</v>
      </c>
      <c r="Q219" s="104">
        <v>9.6799999999999997E-2</v>
      </c>
      <c r="R219" s="97">
        <v>16</v>
      </c>
      <c r="S219" s="101">
        <v>462661</v>
      </c>
      <c r="T219" s="101">
        <v>417875</v>
      </c>
      <c r="U219" s="101">
        <v>48</v>
      </c>
      <c r="V219" s="101">
        <v>425848</v>
      </c>
      <c r="W219" s="104">
        <v>0.91300000000000003</v>
      </c>
      <c r="X219" s="101">
        <v>2151853</v>
      </c>
    </row>
    <row r="220" spans="1:24" ht="14">
      <c r="A220" s="93" t="s">
        <v>442</v>
      </c>
      <c r="B220" s="93">
        <v>26321770</v>
      </c>
      <c r="C220" s="94">
        <v>3</v>
      </c>
      <c r="D220" s="95" t="s">
        <v>125</v>
      </c>
      <c r="E220" s="96" t="s">
        <v>384</v>
      </c>
      <c r="F220" s="97">
        <v>13982070076</v>
      </c>
      <c r="G220" s="105" t="s">
        <v>26</v>
      </c>
      <c r="H220" s="100"/>
      <c r="I220" s="100"/>
      <c r="L220" s="101">
        <v>2566396</v>
      </c>
      <c r="M220" s="102">
        <v>1.2704E-2</v>
      </c>
      <c r="N220" s="103">
        <f t="shared" si="3"/>
        <v>32603.494783999999</v>
      </c>
      <c r="O220" s="101">
        <v>385216</v>
      </c>
      <c r="P220" s="104">
        <v>0.21079999999999999</v>
      </c>
      <c r="Q220" s="104">
        <v>0.79049999999999998</v>
      </c>
      <c r="R220" s="97">
        <v>32</v>
      </c>
      <c r="S220" s="101">
        <v>624095</v>
      </c>
      <c r="T220" s="101">
        <v>130748</v>
      </c>
      <c r="U220" s="101">
        <v>56</v>
      </c>
      <c r="V220" s="101">
        <v>655539</v>
      </c>
      <c r="W220" s="104">
        <v>0.90100000000000002</v>
      </c>
      <c r="X220" s="101">
        <v>2312323</v>
      </c>
    </row>
    <row r="221" spans="1:24" ht="14">
      <c r="A221" s="93" t="s">
        <v>443</v>
      </c>
      <c r="B221" s="93">
        <v>10276136</v>
      </c>
      <c r="C221" s="94">
        <v>3</v>
      </c>
      <c r="D221" s="95" t="s">
        <v>122</v>
      </c>
      <c r="E221" s="96" t="s">
        <v>276</v>
      </c>
      <c r="F221" s="97">
        <v>18988970549</v>
      </c>
      <c r="G221" s="105" t="s">
        <v>137</v>
      </c>
      <c r="H221" s="100"/>
      <c r="I221" s="100"/>
      <c r="L221" s="101">
        <v>1999037</v>
      </c>
      <c r="M221" s="102">
        <v>9.9430000000000004E-3</v>
      </c>
      <c r="N221" s="103">
        <f t="shared" si="3"/>
        <v>19876.424891000002</v>
      </c>
      <c r="O221" s="101">
        <v>495161</v>
      </c>
      <c r="P221" s="104">
        <v>0.17910000000000001</v>
      </c>
      <c r="Q221" s="104">
        <v>0.57210000000000005</v>
      </c>
      <c r="R221" s="97">
        <v>88</v>
      </c>
      <c r="S221" s="101">
        <v>339666</v>
      </c>
      <c r="T221" s="101">
        <v>145343</v>
      </c>
      <c r="U221" s="101">
        <v>182</v>
      </c>
      <c r="V221" s="101">
        <v>321867</v>
      </c>
      <c r="W221" s="104">
        <v>0.86799999999999999</v>
      </c>
      <c r="X221" s="101">
        <v>1735164</v>
      </c>
    </row>
    <row r="222" spans="1:24" ht="14">
      <c r="A222" s="93" t="s">
        <v>444</v>
      </c>
      <c r="B222" s="93">
        <v>1458143131</v>
      </c>
      <c r="C222" s="94">
        <v>3</v>
      </c>
      <c r="D222" s="95" t="s">
        <v>125</v>
      </c>
      <c r="E222" s="96" t="s">
        <v>276</v>
      </c>
      <c r="F222" s="97">
        <v>13214226720</v>
      </c>
      <c r="G222" s="105"/>
      <c r="H222" s="100"/>
      <c r="I222" s="100"/>
      <c r="L222" s="101">
        <v>1505497</v>
      </c>
      <c r="M222" s="102">
        <v>2.9779E-2</v>
      </c>
      <c r="N222" s="103">
        <f t="shared" si="3"/>
        <v>44832.195162999997</v>
      </c>
      <c r="O222" s="101">
        <v>245697</v>
      </c>
      <c r="P222" s="104">
        <v>0.42409999999999998</v>
      </c>
      <c r="Q222" s="104">
        <v>9.4999999999999998E-3</v>
      </c>
      <c r="R222" s="97">
        <v>19</v>
      </c>
      <c r="S222" s="101">
        <v>286703</v>
      </c>
      <c r="T222" s="101">
        <v>283979</v>
      </c>
      <c r="U222" s="101">
        <v>22</v>
      </c>
      <c r="V222" s="101">
        <v>329653</v>
      </c>
      <c r="W222" s="104">
        <v>0.92300000000000004</v>
      </c>
      <c r="X222" s="101">
        <v>1389574</v>
      </c>
    </row>
    <row r="223" spans="1:24" ht="14">
      <c r="A223" s="93" t="s">
        <v>445</v>
      </c>
      <c r="B223" s="93">
        <v>314521322</v>
      </c>
      <c r="C223" s="94">
        <v>3</v>
      </c>
      <c r="D223" s="95" t="s">
        <v>125</v>
      </c>
      <c r="E223" s="96" t="s">
        <v>130</v>
      </c>
      <c r="F223" s="97">
        <v>13641119202</v>
      </c>
      <c r="G223" s="105" t="s">
        <v>184</v>
      </c>
      <c r="H223" s="100"/>
      <c r="I223" s="100"/>
      <c r="L223" s="101">
        <v>1431543</v>
      </c>
      <c r="M223" s="102">
        <v>3.7344000000000002E-2</v>
      </c>
      <c r="N223" s="103">
        <f t="shared" si="3"/>
        <v>53459.541792000004</v>
      </c>
      <c r="O223" s="101">
        <v>194547</v>
      </c>
      <c r="P223" s="104">
        <v>1.89E-2</v>
      </c>
      <c r="Q223" s="104">
        <v>3.4000000000000002E-2</v>
      </c>
      <c r="R223" s="97">
        <v>11</v>
      </c>
      <c r="S223" s="101">
        <v>290644</v>
      </c>
      <c r="T223" s="101">
        <v>280762</v>
      </c>
      <c r="U223" s="101">
        <v>21</v>
      </c>
      <c r="V223" s="101">
        <v>293779</v>
      </c>
      <c r="W223" s="104">
        <v>0.92</v>
      </c>
      <c r="X223" s="101">
        <v>1317020</v>
      </c>
    </row>
    <row r="224" spans="1:24" ht="14">
      <c r="A224" s="93" t="s">
        <v>446</v>
      </c>
      <c r="B224" s="93">
        <v>454143774</v>
      </c>
      <c r="C224" s="94">
        <v>3</v>
      </c>
      <c r="D224" s="95" t="s">
        <v>125</v>
      </c>
      <c r="E224" s="96" t="s">
        <v>276</v>
      </c>
      <c r="F224" s="97">
        <v>13855880253</v>
      </c>
      <c r="G224" s="105"/>
      <c r="H224" s="100"/>
      <c r="I224" s="100"/>
      <c r="L224" s="101">
        <v>1476159</v>
      </c>
      <c r="M224" s="102">
        <v>3.9275999999999998E-2</v>
      </c>
      <c r="N224" s="103">
        <f t="shared" si="3"/>
        <v>57977.620883999996</v>
      </c>
      <c r="O224" s="101">
        <v>248438</v>
      </c>
      <c r="P224" s="104">
        <v>0.23599999999999999</v>
      </c>
      <c r="Q224" s="104">
        <v>0.28849999999999998</v>
      </c>
      <c r="R224" s="97">
        <v>9</v>
      </c>
      <c r="S224" s="101">
        <v>823908</v>
      </c>
      <c r="T224" s="101">
        <v>586211</v>
      </c>
      <c r="U224" s="101">
        <v>18</v>
      </c>
      <c r="V224" s="101">
        <v>760194</v>
      </c>
      <c r="W224" s="104">
        <v>0.91900000000000004</v>
      </c>
      <c r="X224" s="101">
        <v>1356590</v>
      </c>
    </row>
    <row r="225" spans="1:24" ht="14">
      <c r="A225" s="93" t="s">
        <v>447</v>
      </c>
      <c r="B225" s="93">
        <v>361775100</v>
      </c>
      <c r="C225" s="94">
        <v>3</v>
      </c>
      <c r="D225" s="95" t="s">
        <v>122</v>
      </c>
      <c r="E225" s="96" t="s">
        <v>396</v>
      </c>
      <c r="F225" s="97">
        <v>15904943478</v>
      </c>
      <c r="G225" s="105" t="s">
        <v>22</v>
      </c>
      <c r="H225" s="100"/>
      <c r="I225" s="100"/>
      <c r="L225" s="101">
        <v>1520097</v>
      </c>
      <c r="M225" s="102">
        <v>2.9949E-2</v>
      </c>
      <c r="N225" s="103">
        <f t="shared" si="3"/>
        <v>45525.385052999998</v>
      </c>
      <c r="O225" s="101">
        <v>258264</v>
      </c>
      <c r="P225" s="104">
        <v>0.78469999999999995</v>
      </c>
      <c r="Q225" s="104">
        <v>4.8999999999999998E-3</v>
      </c>
      <c r="R225" s="97">
        <v>46</v>
      </c>
      <c r="S225" s="101">
        <v>197796</v>
      </c>
      <c r="T225" s="101">
        <v>196819</v>
      </c>
      <c r="U225" s="101">
        <v>82</v>
      </c>
      <c r="V225" s="101">
        <v>205673</v>
      </c>
      <c r="W225" s="104">
        <v>0.91300000000000003</v>
      </c>
      <c r="X225" s="101">
        <v>1387849</v>
      </c>
    </row>
    <row r="226" spans="1:24" ht="14">
      <c r="A226" s="93" t="s">
        <v>448</v>
      </c>
      <c r="B226" s="93">
        <v>345630501</v>
      </c>
      <c r="C226" s="94">
        <v>3</v>
      </c>
      <c r="D226" s="95" t="s">
        <v>125</v>
      </c>
      <c r="E226" s="96" t="s">
        <v>372</v>
      </c>
      <c r="F226" s="97">
        <v>19535829502</v>
      </c>
      <c r="G226" s="105"/>
      <c r="H226" s="100"/>
      <c r="I226" s="100"/>
      <c r="L226" s="101">
        <v>2655204</v>
      </c>
      <c r="M226" s="102">
        <v>6.9779999999999998E-3</v>
      </c>
      <c r="N226" s="103">
        <f t="shared" si="3"/>
        <v>18528.013512000001</v>
      </c>
      <c r="O226" s="101">
        <v>225161</v>
      </c>
      <c r="P226" s="104">
        <v>0.36720000000000003</v>
      </c>
      <c r="Q226" s="104">
        <v>3.9600000000000003E-2</v>
      </c>
      <c r="R226" s="97">
        <v>10</v>
      </c>
      <c r="S226" s="101">
        <v>413060</v>
      </c>
      <c r="T226" s="101">
        <v>396703</v>
      </c>
      <c r="U226" s="101">
        <v>24</v>
      </c>
      <c r="V226" s="101">
        <v>515499</v>
      </c>
      <c r="W226" s="104">
        <v>0.92800000000000005</v>
      </c>
      <c r="X226" s="101">
        <v>2464029</v>
      </c>
    </row>
    <row r="227" spans="1:24" ht="14">
      <c r="A227" s="93" t="s">
        <v>449</v>
      </c>
      <c r="B227" s="93">
        <v>20259914</v>
      </c>
      <c r="C227" s="94">
        <v>3</v>
      </c>
      <c r="D227" s="95" t="s">
        <v>125</v>
      </c>
      <c r="E227" s="96" t="s">
        <v>356</v>
      </c>
      <c r="F227" s="97">
        <v>15608084296</v>
      </c>
      <c r="G227" s="105" t="s">
        <v>184</v>
      </c>
      <c r="H227" s="100"/>
      <c r="I227" s="100"/>
      <c r="L227" s="101">
        <v>2828050</v>
      </c>
      <c r="M227" s="102">
        <v>3.5899999999999999E-3</v>
      </c>
      <c r="N227" s="103">
        <f t="shared" si="3"/>
        <v>10152.699499999999</v>
      </c>
      <c r="O227" s="101">
        <v>227658</v>
      </c>
      <c r="P227" s="104">
        <v>0.1331</v>
      </c>
      <c r="Q227" s="104">
        <v>2.86E-2</v>
      </c>
      <c r="R227" s="97">
        <v>3</v>
      </c>
      <c r="S227" s="101">
        <v>542165</v>
      </c>
      <c r="T227" s="101">
        <v>526659</v>
      </c>
      <c r="U227" s="101">
        <v>5</v>
      </c>
      <c r="V227" s="101">
        <v>1399206</v>
      </c>
      <c r="W227" s="104">
        <v>0.92800000000000005</v>
      </c>
      <c r="X227" s="101">
        <v>2624430</v>
      </c>
    </row>
    <row r="228" spans="1:24" ht="14">
      <c r="A228" s="93" t="s">
        <v>450</v>
      </c>
      <c r="B228" s="93">
        <v>5957440</v>
      </c>
      <c r="C228" s="94">
        <v>3</v>
      </c>
      <c r="D228" s="95" t="s">
        <v>122</v>
      </c>
      <c r="E228" s="96" t="s">
        <v>143</v>
      </c>
      <c r="F228" s="97">
        <v>13913181085</v>
      </c>
      <c r="G228" s="105" t="s">
        <v>137</v>
      </c>
      <c r="H228" s="100"/>
      <c r="I228" s="100"/>
      <c r="L228" s="101">
        <v>2784047</v>
      </c>
      <c r="M228" s="102">
        <v>1.2309E-2</v>
      </c>
      <c r="N228" s="103">
        <f t="shared" si="3"/>
        <v>34268.834523000005</v>
      </c>
      <c r="O228" s="101">
        <v>291211</v>
      </c>
      <c r="P228" s="104">
        <v>0.69599999999999995</v>
      </c>
      <c r="Q228" s="104">
        <v>1.7000000000000001E-2</v>
      </c>
      <c r="R228" s="97">
        <v>11</v>
      </c>
      <c r="S228" s="101">
        <v>549643</v>
      </c>
      <c r="T228" s="101">
        <v>540299</v>
      </c>
      <c r="U228" s="101">
        <v>22</v>
      </c>
      <c r="V228" s="101">
        <v>701326</v>
      </c>
      <c r="W228" s="104">
        <v>0.92700000000000005</v>
      </c>
      <c r="X228" s="101">
        <v>2580812</v>
      </c>
    </row>
    <row r="229" spans="1:24" ht="14">
      <c r="A229" s="93" t="s">
        <v>451</v>
      </c>
      <c r="B229" s="93">
        <v>641975239</v>
      </c>
      <c r="C229" s="94">
        <v>3</v>
      </c>
      <c r="D229" s="95" t="s">
        <v>125</v>
      </c>
      <c r="E229" s="96" t="s">
        <v>372</v>
      </c>
      <c r="F229" s="97">
        <v>18201262440</v>
      </c>
      <c r="G229" s="105"/>
      <c r="H229" s="100"/>
      <c r="I229" s="100"/>
      <c r="L229" s="101">
        <v>2856214</v>
      </c>
      <c r="M229" s="102">
        <v>6.7539999999999996E-3</v>
      </c>
      <c r="N229" s="103">
        <f t="shared" si="3"/>
        <v>19290.869355999999</v>
      </c>
      <c r="O229" s="101">
        <v>105109</v>
      </c>
      <c r="P229" s="104">
        <v>6.4500000000000002E-2</v>
      </c>
      <c r="Q229" s="104">
        <v>3.7100000000000001E-2</v>
      </c>
      <c r="R229" s="97">
        <v>10</v>
      </c>
      <c r="S229" s="101">
        <v>205042</v>
      </c>
      <c r="T229" s="101">
        <v>197435</v>
      </c>
      <c r="U229" s="101">
        <v>18</v>
      </c>
      <c r="V229" s="101">
        <v>294519</v>
      </c>
      <c r="W229" s="104">
        <v>0.92600000000000005</v>
      </c>
      <c r="X229" s="101">
        <v>2644854</v>
      </c>
    </row>
    <row r="230" spans="1:24" ht="14">
      <c r="A230" s="93" t="s">
        <v>452</v>
      </c>
      <c r="B230" s="93">
        <v>390461123</v>
      </c>
      <c r="C230" s="94">
        <v>3</v>
      </c>
      <c r="D230" s="95" t="s">
        <v>125</v>
      </c>
      <c r="E230" s="96" t="s">
        <v>143</v>
      </c>
      <c r="F230" s="97">
        <v>18156856785</v>
      </c>
      <c r="G230" s="105"/>
      <c r="H230" s="100"/>
      <c r="I230" s="100"/>
      <c r="L230" s="101">
        <v>3364649</v>
      </c>
      <c r="M230" s="102">
        <v>3.6440000000000001E-3</v>
      </c>
      <c r="N230" s="103">
        <f t="shared" si="3"/>
        <v>12260.780956000001</v>
      </c>
      <c r="O230" s="101">
        <v>64601</v>
      </c>
      <c r="P230" s="104">
        <v>2.2200000000000001E-2</v>
      </c>
      <c r="Q230" s="104">
        <v>4.0099999999999997E-2</v>
      </c>
      <c r="R230" s="97">
        <v>6</v>
      </c>
      <c r="S230" s="101">
        <v>649281</v>
      </c>
      <c r="T230" s="101">
        <v>623245</v>
      </c>
      <c r="U230" s="101">
        <v>13</v>
      </c>
      <c r="V230" s="101">
        <v>550232</v>
      </c>
      <c r="W230" s="104">
        <v>0.92600000000000005</v>
      </c>
      <c r="X230" s="101">
        <v>3115665</v>
      </c>
    </row>
    <row r="231" spans="1:24" ht="14">
      <c r="A231" s="93" t="s">
        <v>453</v>
      </c>
      <c r="B231" s="93">
        <v>32820037</v>
      </c>
      <c r="C231" s="94">
        <v>3</v>
      </c>
      <c r="D231" s="95" t="s">
        <v>125</v>
      </c>
      <c r="E231" s="96" t="s">
        <v>233</v>
      </c>
      <c r="F231" s="97">
        <v>15210595534</v>
      </c>
      <c r="G231" s="105"/>
      <c r="H231" s="100"/>
      <c r="I231" s="100"/>
      <c r="L231" s="101">
        <v>4507734</v>
      </c>
      <c r="M231" s="102">
        <v>7.4130000000000003E-3</v>
      </c>
      <c r="N231" s="103">
        <f t="shared" si="3"/>
        <v>33415.832141999999</v>
      </c>
      <c r="O231" s="101">
        <v>279029</v>
      </c>
      <c r="P231" s="104">
        <v>0.60519999999999996</v>
      </c>
      <c r="Q231" s="104">
        <v>0.19919999999999999</v>
      </c>
      <c r="R231" s="97">
        <v>13</v>
      </c>
      <c r="S231" s="101">
        <v>703561</v>
      </c>
      <c r="T231" s="101">
        <v>563412</v>
      </c>
      <c r="U231" s="101">
        <v>24</v>
      </c>
      <c r="V231" s="101">
        <v>771803</v>
      </c>
      <c r="W231" s="104">
        <v>0.91600000000000004</v>
      </c>
      <c r="X231" s="101">
        <v>4129084</v>
      </c>
    </row>
    <row r="232" spans="1:24" ht="14">
      <c r="A232" s="93" t="s">
        <v>454</v>
      </c>
      <c r="B232" s="93">
        <v>2403047</v>
      </c>
      <c r="C232" s="94">
        <v>3</v>
      </c>
      <c r="D232" s="95" t="s">
        <v>125</v>
      </c>
      <c r="E232" s="96" t="s">
        <v>147</v>
      </c>
      <c r="F232" s="97">
        <v>13691151896</v>
      </c>
      <c r="G232" s="105"/>
      <c r="H232" s="100"/>
      <c r="I232" s="100"/>
      <c r="L232" s="101">
        <v>3413729</v>
      </c>
      <c r="M232" s="102">
        <v>5.4730000000000004E-3</v>
      </c>
      <c r="N232" s="103">
        <f t="shared" si="3"/>
        <v>18683.338817</v>
      </c>
      <c r="O232" s="101">
        <v>296312</v>
      </c>
      <c r="P232" s="104">
        <v>0.19270000000000001</v>
      </c>
      <c r="Q232" s="104">
        <v>7.3999999999999996E-2</v>
      </c>
      <c r="R232" s="97">
        <v>15</v>
      </c>
      <c r="S232" s="101">
        <v>551652</v>
      </c>
      <c r="T232" s="101">
        <v>510830</v>
      </c>
      <c r="U232" s="101">
        <v>51</v>
      </c>
      <c r="V232" s="101">
        <v>351027</v>
      </c>
      <c r="W232" s="104">
        <v>0.91400000000000003</v>
      </c>
      <c r="X232" s="101">
        <v>3120148</v>
      </c>
    </row>
    <row r="233" spans="1:24" ht="14">
      <c r="A233" s="93" t="s">
        <v>455</v>
      </c>
      <c r="B233" s="93">
        <v>9008159</v>
      </c>
      <c r="C233" s="94">
        <v>3</v>
      </c>
      <c r="D233" s="95" t="s">
        <v>125</v>
      </c>
      <c r="E233" s="96" t="s">
        <v>404</v>
      </c>
      <c r="F233" s="97">
        <v>17711322014</v>
      </c>
      <c r="G233" s="105" t="s">
        <v>184</v>
      </c>
      <c r="H233" s="100"/>
      <c r="I233" s="100"/>
      <c r="L233" s="101">
        <v>3301095</v>
      </c>
      <c r="M233" s="102">
        <v>5.6740000000000002E-3</v>
      </c>
      <c r="N233" s="103">
        <f t="shared" si="3"/>
        <v>18730.41303</v>
      </c>
      <c r="O233" s="101">
        <v>333741</v>
      </c>
      <c r="P233" s="104">
        <v>0.25679999999999997</v>
      </c>
      <c r="Q233" s="104">
        <v>0.36220000000000002</v>
      </c>
      <c r="R233" s="97">
        <v>18</v>
      </c>
      <c r="S233" s="101">
        <v>395715</v>
      </c>
      <c r="T233" s="101">
        <v>252387</v>
      </c>
      <c r="U233" s="101">
        <v>36</v>
      </c>
      <c r="V233" s="101">
        <v>306655</v>
      </c>
      <c r="W233" s="104">
        <v>0.91</v>
      </c>
      <c r="X233" s="101">
        <v>3003996</v>
      </c>
    </row>
    <row r="234" spans="1:24" ht="14">
      <c r="A234" s="93" t="s">
        <v>456</v>
      </c>
      <c r="B234" s="93">
        <v>11131476</v>
      </c>
      <c r="C234" s="94">
        <v>3</v>
      </c>
      <c r="D234" s="95" t="s">
        <v>125</v>
      </c>
      <c r="E234" s="96" t="s">
        <v>154</v>
      </c>
      <c r="F234" s="97">
        <v>14709533157</v>
      </c>
      <c r="G234" s="105"/>
      <c r="H234" s="100"/>
      <c r="I234" s="100"/>
      <c r="L234" s="101">
        <v>3777075</v>
      </c>
      <c r="M234" s="102">
        <v>4.2490000000000002E-3</v>
      </c>
      <c r="N234" s="103">
        <f t="shared" si="3"/>
        <v>16048.791675</v>
      </c>
      <c r="O234" s="101">
        <v>260996</v>
      </c>
      <c r="P234" s="104">
        <v>0.59160000000000001</v>
      </c>
      <c r="Q234" s="104">
        <v>3.0700000000000002E-2</v>
      </c>
      <c r="R234" s="97">
        <v>18</v>
      </c>
      <c r="S234" s="101">
        <v>321221</v>
      </c>
      <c r="T234" s="101">
        <v>311360</v>
      </c>
      <c r="U234" s="101">
        <v>29</v>
      </c>
      <c r="V234" s="101">
        <v>483400</v>
      </c>
      <c r="W234" s="104">
        <v>0.89600000000000002</v>
      </c>
      <c r="X234" s="101">
        <v>3384259</v>
      </c>
    </row>
    <row r="235" spans="1:24" ht="14">
      <c r="A235" s="93" t="s">
        <v>457</v>
      </c>
      <c r="B235" s="93">
        <v>81824112</v>
      </c>
      <c r="C235" s="94">
        <v>3</v>
      </c>
      <c r="D235" s="95" t="s">
        <v>122</v>
      </c>
      <c r="E235" s="96" t="s">
        <v>132</v>
      </c>
      <c r="F235" s="97">
        <v>15615931499</v>
      </c>
      <c r="G235" s="105" t="s">
        <v>26</v>
      </c>
      <c r="H235" s="99" t="s">
        <v>214</v>
      </c>
      <c r="I235" s="100"/>
      <c r="J235" t="s">
        <v>458</v>
      </c>
      <c r="L235" s="101">
        <v>3368393</v>
      </c>
      <c r="M235" s="102">
        <v>9.3599999999999998E-4</v>
      </c>
      <c r="N235" s="103">
        <f t="shared" si="3"/>
        <v>3152.8158479999997</v>
      </c>
      <c r="O235" s="101">
        <v>65684</v>
      </c>
      <c r="P235" s="104">
        <v>0.1704</v>
      </c>
      <c r="Q235" s="104">
        <v>5.5500000000000001E-2</v>
      </c>
      <c r="R235" s="97">
        <v>1</v>
      </c>
      <c r="S235" s="101">
        <v>1612586</v>
      </c>
      <c r="T235" s="101">
        <v>1523087</v>
      </c>
      <c r="U235" s="101">
        <v>2</v>
      </c>
      <c r="V235" s="101">
        <v>1923487</v>
      </c>
      <c r="W235" s="104">
        <v>0.93100000000000005</v>
      </c>
      <c r="X235" s="101">
        <v>3135974</v>
      </c>
    </row>
    <row r="236" spans="1:24" ht="14">
      <c r="A236" s="93" t="s">
        <v>459</v>
      </c>
      <c r="B236" s="93">
        <v>369750017</v>
      </c>
      <c r="C236" s="94">
        <v>3</v>
      </c>
      <c r="D236" s="95" t="s">
        <v>122</v>
      </c>
      <c r="E236" s="96" t="s">
        <v>210</v>
      </c>
      <c r="F236" s="97">
        <v>13646465885</v>
      </c>
      <c r="G236" s="105" t="s">
        <v>22</v>
      </c>
      <c r="H236" s="100"/>
      <c r="I236" s="100"/>
      <c r="L236" s="101">
        <v>4915413</v>
      </c>
      <c r="M236" s="102">
        <v>2.6303E-2</v>
      </c>
      <c r="N236" s="103">
        <f t="shared" si="3"/>
        <v>129290.108139</v>
      </c>
      <c r="O236" s="101">
        <v>333265</v>
      </c>
      <c r="P236" s="104">
        <v>1.9E-3</v>
      </c>
      <c r="Q236" s="104">
        <v>4.2000000000000003E-2</v>
      </c>
      <c r="R236" s="97">
        <v>0</v>
      </c>
      <c r="S236" s="101">
        <v>0</v>
      </c>
      <c r="T236" s="101">
        <v>0</v>
      </c>
      <c r="U236" s="101">
        <v>1</v>
      </c>
      <c r="V236" s="101">
        <v>40779932</v>
      </c>
      <c r="W236" s="104">
        <v>0.9</v>
      </c>
      <c r="X236" s="101">
        <v>4423872</v>
      </c>
    </row>
    <row r="237" spans="1:24" ht="14">
      <c r="A237" s="93" t="s">
        <v>460</v>
      </c>
      <c r="B237" s="93">
        <v>51896064</v>
      </c>
      <c r="C237" s="94">
        <v>3</v>
      </c>
      <c r="D237" s="95" t="s">
        <v>125</v>
      </c>
      <c r="E237" s="96" t="s">
        <v>208</v>
      </c>
      <c r="F237" s="97">
        <v>17603444396</v>
      </c>
      <c r="G237" s="105"/>
      <c r="H237" s="100"/>
      <c r="I237" s="100"/>
      <c r="L237" s="101">
        <v>2301717</v>
      </c>
      <c r="M237" s="102">
        <v>4.5570000000000003E-3</v>
      </c>
      <c r="N237" s="103">
        <f t="shared" si="3"/>
        <v>10488.924369</v>
      </c>
      <c r="O237" s="101">
        <v>219354</v>
      </c>
      <c r="P237" s="104">
        <v>0.27400000000000002</v>
      </c>
      <c r="Q237" s="104">
        <v>2.7799999999999998E-2</v>
      </c>
      <c r="R237" s="97">
        <v>8</v>
      </c>
      <c r="S237" s="101">
        <v>218043</v>
      </c>
      <c r="T237" s="101">
        <v>211981</v>
      </c>
      <c r="U237" s="101">
        <v>16</v>
      </c>
      <c r="V237" s="101">
        <v>190957</v>
      </c>
      <c r="W237" s="104">
        <v>0.93100000000000005</v>
      </c>
      <c r="X237" s="101">
        <v>2142899</v>
      </c>
    </row>
    <row r="238" spans="1:24" ht="14">
      <c r="A238" s="93" t="s">
        <v>461</v>
      </c>
      <c r="B238" s="93">
        <v>38053181</v>
      </c>
      <c r="C238" s="94">
        <v>3</v>
      </c>
      <c r="D238" s="95" t="s">
        <v>125</v>
      </c>
      <c r="E238" s="96" t="s">
        <v>339</v>
      </c>
      <c r="F238" s="97">
        <v>17600063000</v>
      </c>
      <c r="G238" s="105"/>
      <c r="H238" s="100"/>
      <c r="I238" s="100"/>
      <c r="L238" s="101">
        <v>1747692</v>
      </c>
      <c r="M238" s="102">
        <v>2.9480000000000001E-3</v>
      </c>
      <c r="N238" s="103">
        <f t="shared" si="3"/>
        <v>5152.1960159999999</v>
      </c>
      <c r="O238" s="101">
        <v>65713</v>
      </c>
      <c r="P238" s="104">
        <v>0.21609999999999999</v>
      </c>
      <c r="Q238" s="104">
        <v>4.2200000000000001E-2</v>
      </c>
      <c r="R238" s="97">
        <v>3</v>
      </c>
      <c r="S238" s="101">
        <v>472749</v>
      </c>
      <c r="T238" s="101">
        <v>452799</v>
      </c>
      <c r="U238" s="101">
        <v>7</v>
      </c>
      <c r="V238" s="101">
        <v>854489</v>
      </c>
      <c r="W238" s="104">
        <v>0.93</v>
      </c>
      <c r="X238" s="101">
        <v>1625354</v>
      </c>
    </row>
    <row r="239" spans="1:24" ht="14">
      <c r="A239" s="93" t="s">
        <v>462</v>
      </c>
      <c r="B239" s="93">
        <v>590490400</v>
      </c>
      <c r="C239" s="94">
        <v>3</v>
      </c>
      <c r="D239" s="95" t="s">
        <v>125</v>
      </c>
      <c r="E239" s="96" t="s">
        <v>384</v>
      </c>
      <c r="F239" s="97">
        <v>15663885931</v>
      </c>
      <c r="G239" s="105"/>
      <c r="H239" s="100"/>
      <c r="I239" s="100"/>
      <c r="L239" s="101">
        <v>1787692</v>
      </c>
      <c r="M239" s="102">
        <v>1.1604E-2</v>
      </c>
      <c r="N239" s="103">
        <f t="shared" si="3"/>
        <v>20744.377968000001</v>
      </c>
      <c r="O239" s="101">
        <v>133898</v>
      </c>
      <c r="P239" s="104">
        <v>0.17449999999999999</v>
      </c>
      <c r="Q239" s="104">
        <v>6.2E-2</v>
      </c>
      <c r="R239" s="97">
        <v>52</v>
      </c>
      <c r="S239" s="101">
        <v>79691</v>
      </c>
      <c r="T239" s="101">
        <v>74750</v>
      </c>
      <c r="U239" s="101">
        <v>114</v>
      </c>
      <c r="V239" s="101">
        <v>85819</v>
      </c>
      <c r="W239" s="104">
        <v>0.92600000000000005</v>
      </c>
      <c r="X239" s="101">
        <v>1655403</v>
      </c>
    </row>
    <row r="240" spans="1:24" ht="14">
      <c r="A240" s="93" t="s">
        <v>463</v>
      </c>
      <c r="B240" s="93">
        <v>414641554</v>
      </c>
      <c r="C240" s="94">
        <v>3</v>
      </c>
      <c r="D240" s="95" t="s">
        <v>125</v>
      </c>
      <c r="E240" s="96" t="s">
        <v>128</v>
      </c>
      <c r="F240" s="97">
        <v>16602893112</v>
      </c>
      <c r="G240" s="105"/>
      <c r="H240" s="100"/>
      <c r="I240" s="100"/>
      <c r="L240" s="101">
        <v>1824829</v>
      </c>
      <c r="M240" s="102">
        <v>8.0960000000000008E-3</v>
      </c>
      <c r="N240" s="103">
        <f t="shared" si="3"/>
        <v>14773.815584000002</v>
      </c>
      <c r="O240" s="101">
        <v>166242</v>
      </c>
      <c r="P240" s="104">
        <v>3.9399999999999998E-2</v>
      </c>
      <c r="Q240" s="104">
        <v>0.51549999999999996</v>
      </c>
      <c r="R240" s="97">
        <v>7</v>
      </c>
      <c r="S240" s="101">
        <v>877843</v>
      </c>
      <c r="T240" s="101">
        <v>425315</v>
      </c>
      <c r="U240" s="101">
        <v>14</v>
      </c>
      <c r="V240" s="101">
        <v>823857</v>
      </c>
      <c r="W240" s="104">
        <v>0.91900000000000004</v>
      </c>
      <c r="X240" s="101">
        <v>1677018</v>
      </c>
    </row>
    <row r="241" spans="1:24" ht="14">
      <c r="A241" s="93" t="s">
        <v>464</v>
      </c>
      <c r="B241" s="93">
        <v>14254182</v>
      </c>
      <c r="C241" s="94">
        <v>3</v>
      </c>
      <c r="D241" s="95" t="s">
        <v>125</v>
      </c>
      <c r="E241" s="96" t="s">
        <v>147</v>
      </c>
      <c r="F241" s="97">
        <v>18301653267</v>
      </c>
      <c r="G241" s="105"/>
      <c r="H241" s="100"/>
      <c r="I241" s="100"/>
      <c r="L241" s="101">
        <v>1663958</v>
      </c>
      <c r="M241" s="102">
        <v>2.2335000000000001E-2</v>
      </c>
      <c r="N241" s="103">
        <f t="shared" si="3"/>
        <v>37164.501929999999</v>
      </c>
      <c r="O241" s="101">
        <v>294521</v>
      </c>
      <c r="P241" s="104">
        <v>0.1842</v>
      </c>
      <c r="Q241" s="104">
        <v>0.31080000000000002</v>
      </c>
      <c r="R241" s="97">
        <v>26</v>
      </c>
      <c r="S241" s="101">
        <v>355713</v>
      </c>
      <c r="T241" s="101">
        <v>245154</v>
      </c>
      <c r="U241" s="101">
        <v>40</v>
      </c>
      <c r="V241" s="101">
        <v>420542</v>
      </c>
      <c r="W241" s="104">
        <v>0.91500000000000004</v>
      </c>
      <c r="X241" s="101">
        <v>1522522</v>
      </c>
    </row>
    <row r="242" spans="1:24" ht="14">
      <c r="A242" s="93" t="s">
        <v>465</v>
      </c>
      <c r="B242" s="93">
        <v>259333</v>
      </c>
      <c r="C242" s="94">
        <v>3</v>
      </c>
      <c r="D242" s="95" t="s">
        <v>125</v>
      </c>
      <c r="E242" s="96" t="s">
        <v>188</v>
      </c>
      <c r="F242" s="97">
        <v>13535370237</v>
      </c>
      <c r="G242" s="105"/>
      <c r="H242" s="100"/>
      <c r="I242" s="100"/>
      <c r="L242" s="101">
        <v>1732573</v>
      </c>
      <c r="M242" s="102">
        <v>1.7559000000000002E-2</v>
      </c>
      <c r="N242" s="103">
        <f t="shared" si="3"/>
        <v>30422.249307000002</v>
      </c>
      <c r="O242" s="101">
        <v>238229</v>
      </c>
      <c r="P242" s="104">
        <v>0.14380000000000001</v>
      </c>
      <c r="Q242" s="104">
        <v>0.35709999999999997</v>
      </c>
      <c r="R242" s="97">
        <v>22</v>
      </c>
      <c r="S242" s="101">
        <v>540537</v>
      </c>
      <c r="T242" s="101">
        <v>347488</v>
      </c>
      <c r="U242" s="101">
        <v>37</v>
      </c>
      <c r="V242" s="101">
        <v>491715</v>
      </c>
      <c r="W242" s="104">
        <v>0.91</v>
      </c>
      <c r="X242" s="101">
        <v>1576641</v>
      </c>
    </row>
    <row r="243" spans="1:24" ht="14">
      <c r="A243" s="93" t="s">
        <v>466</v>
      </c>
      <c r="B243" s="93">
        <v>1968595</v>
      </c>
      <c r="C243" s="94">
        <v>3</v>
      </c>
      <c r="D243" s="95" t="s">
        <v>125</v>
      </c>
      <c r="E243" s="96" t="s">
        <v>396</v>
      </c>
      <c r="F243" s="97">
        <v>18511592300</v>
      </c>
      <c r="G243" s="105"/>
      <c r="H243" s="100"/>
      <c r="I243" s="100"/>
      <c r="L243" s="101">
        <v>2169791</v>
      </c>
      <c r="M243" s="102">
        <v>8.3929999999999994E-3</v>
      </c>
      <c r="N243" s="103">
        <f t="shared" si="3"/>
        <v>18211.055862999998</v>
      </c>
      <c r="O243" s="101">
        <v>193979</v>
      </c>
      <c r="P243" s="104">
        <v>0.19439999999999999</v>
      </c>
      <c r="Q243" s="104">
        <v>0.755</v>
      </c>
      <c r="R243" s="97">
        <v>11</v>
      </c>
      <c r="S243" s="101">
        <v>1380332</v>
      </c>
      <c r="T243" s="101">
        <v>338181</v>
      </c>
      <c r="U243" s="101">
        <v>35</v>
      </c>
      <c r="V243" s="101">
        <v>1116475</v>
      </c>
      <c r="W243" s="104">
        <v>0.90500000000000003</v>
      </c>
      <c r="X243" s="101">
        <v>1963661</v>
      </c>
    </row>
    <row r="244" spans="1:24" ht="14">
      <c r="A244" s="93" t="s">
        <v>467</v>
      </c>
      <c r="B244" s="93">
        <v>298946431</v>
      </c>
      <c r="C244" s="94">
        <v>3</v>
      </c>
      <c r="D244" s="95" t="s">
        <v>122</v>
      </c>
      <c r="E244" s="96" t="s">
        <v>384</v>
      </c>
      <c r="F244" s="97">
        <v>13726223740</v>
      </c>
      <c r="G244" s="105" t="s">
        <v>18</v>
      </c>
      <c r="H244" s="100"/>
      <c r="I244" s="100"/>
      <c r="L244" s="101">
        <v>1739383</v>
      </c>
      <c r="M244" s="102">
        <v>6.2610000000000001E-3</v>
      </c>
      <c r="N244" s="103">
        <f t="shared" si="3"/>
        <v>10890.276963</v>
      </c>
      <c r="O244" s="101">
        <v>125410</v>
      </c>
      <c r="P244" s="104">
        <v>0.62360000000000004</v>
      </c>
      <c r="Q244" s="104">
        <v>0.16739999999999999</v>
      </c>
      <c r="R244" s="97">
        <v>11</v>
      </c>
      <c r="S244" s="101">
        <v>206191</v>
      </c>
      <c r="T244" s="101">
        <v>171675</v>
      </c>
      <c r="U244" s="101">
        <v>24</v>
      </c>
      <c r="V244" s="101">
        <v>207068</v>
      </c>
      <c r="W244" s="104">
        <v>0.90400000000000003</v>
      </c>
      <c r="X244" s="101">
        <v>1572402</v>
      </c>
    </row>
    <row r="245" spans="1:24" ht="14">
      <c r="A245" s="93" t="s">
        <v>468</v>
      </c>
      <c r="B245" s="93">
        <v>888465</v>
      </c>
      <c r="C245" s="94">
        <v>3</v>
      </c>
      <c r="D245" s="95" t="s">
        <v>125</v>
      </c>
      <c r="E245" s="96" t="s">
        <v>436</v>
      </c>
      <c r="F245" s="97">
        <v>18668268559</v>
      </c>
      <c r="G245" s="105"/>
      <c r="H245" s="100"/>
      <c r="I245" s="100"/>
      <c r="L245" s="101">
        <v>2011902</v>
      </c>
      <c r="M245" s="102">
        <v>3.3149999999999998E-3</v>
      </c>
      <c r="N245" s="103">
        <f t="shared" si="3"/>
        <v>6669.4551299999994</v>
      </c>
      <c r="O245" s="101">
        <v>196362</v>
      </c>
      <c r="P245" s="104">
        <v>7.5800000000000006E-2</v>
      </c>
      <c r="Q245" s="104">
        <v>0.27079999999999999</v>
      </c>
      <c r="R245" s="97">
        <v>12</v>
      </c>
      <c r="S245" s="101">
        <v>695137</v>
      </c>
      <c r="T245" s="101">
        <v>506894</v>
      </c>
      <c r="U245" s="101">
        <v>18</v>
      </c>
      <c r="V245" s="101">
        <v>783135</v>
      </c>
      <c r="W245" s="104">
        <v>0.9</v>
      </c>
      <c r="X245" s="101">
        <v>1810712</v>
      </c>
    </row>
    <row r="246" spans="1:24" ht="14">
      <c r="A246" s="93" t="s">
        <v>469</v>
      </c>
      <c r="B246" s="93">
        <v>1468951948</v>
      </c>
      <c r="C246" s="94">
        <v>3</v>
      </c>
      <c r="D246" s="95" t="s">
        <v>125</v>
      </c>
      <c r="E246" s="96" t="s">
        <v>253</v>
      </c>
      <c r="F246" s="97">
        <v>1063305272</v>
      </c>
      <c r="G246" s="105"/>
      <c r="H246" s="100"/>
      <c r="I246" s="100"/>
      <c r="L246" s="101">
        <v>2638236</v>
      </c>
      <c r="M246" s="102">
        <v>3.4269999999999999E-3</v>
      </c>
      <c r="N246" s="103">
        <f t="shared" si="3"/>
        <v>9041.2347719999998</v>
      </c>
      <c r="O246" s="101">
        <v>118457</v>
      </c>
      <c r="P246" s="104">
        <v>0.15759999999999999</v>
      </c>
      <c r="Q246" s="104">
        <v>0.65269999999999995</v>
      </c>
      <c r="R246" s="97">
        <v>16</v>
      </c>
      <c r="S246" s="101">
        <v>531259</v>
      </c>
      <c r="T246" s="101">
        <v>184506</v>
      </c>
      <c r="U246" s="101">
        <v>21</v>
      </c>
      <c r="V246" s="101">
        <v>542586</v>
      </c>
      <c r="W246" s="104">
        <v>0.86099999999999999</v>
      </c>
      <c r="X246" s="101">
        <v>2271521</v>
      </c>
    </row>
    <row r="247" spans="1:24" ht="14">
      <c r="A247" s="93" t="s">
        <v>470</v>
      </c>
      <c r="B247" s="93">
        <v>11684516</v>
      </c>
      <c r="C247" s="94">
        <v>3</v>
      </c>
      <c r="D247" s="95" t="s">
        <v>125</v>
      </c>
      <c r="E247" s="96" t="s">
        <v>471</v>
      </c>
      <c r="F247" s="97">
        <v>17275218088</v>
      </c>
      <c r="G247" s="105"/>
      <c r="H247" s="100"/>
      <c r="I247" s="100"/>
      <c r="L247" s="101">
        <v>1409961</v>
      </c>
      <c r="M247" s="102">
        <v>2.3400000000000001E-3</v>
      </c>
      <c r="N247" s="103">
        <f t="shared" si="3"/>
        <v>3299.3087399999999</v>
      </c>
      <c r="O247" s="101">
        <v>15228</v>
      </c>
      <c r="P247" s="104">
        <v>2.7000000000000001E-3</v>
      </c>
      <c r="Q247" s="104">
        <v>1.7500000000000002E-2</v>
      </c>
      <c r="R247" s="97">
        <v>1</v>
      </c>
      <c r="S247" s="101">
        <v>948062</v>
      </c>
      <c r="T247" s="101">
        <v>931471</v>
      </c>
      <c r="U247" s="101">
        <v>1</v>
      </c>
      <c r="V247" s="101">
        <v>1824771</v>
      </c>
      <c r="W247" s="104">
        <v>0.93600000000000005</v>
      </c>
      <c r="X247" s="101">
        <v>1319723</v>
      </c>
    </row>
    <row r="248" spans="1:24" ht="14">
      <c r="A248" s="93" t="s">
        <v>472</v>
      </c>
      <c r="B248" s="93">
        <v>98666360</v>
      </c>
      <c r="C248" s="94">
        <v>3</v>
      </c>
      <c r="D248" s="95" t="s">
        <v>125</v>
      </c>
      <c r="E248" s="96" t="s">
        <v>130</v>
      </c>
      <c r="F248" s="97">
        <v>13533392932</v>
      </c>
      <c r="G248" s="105"/>
      <c r="H248" s="100"/>
      <c r="I248" s="100"/>
      <c r="L248" s="101">
        <v>1457773</v>
      </c>
      <c r="M248" s="102">
        <v>1.3466000000000001E-2</v>
      </c>
      <c r="N248" s="103">
        <f t="shared" si="3"/>
        <v>19630.371218</v>
      </c>
      <c r="O248" s="101">
        <v>63559</v>
      </c>
      <c r="P248" s="104">
        <v>7.6999999999999999E-2</v>
      </c>
      <c r="Q248" s="104">
        <v>9.9199999999999997E-2</v>
      </c>
      <c r="R248" s="97">
        <v>4</v>
      </c>
      <c r="S248" s="101">
        <v>1092308</v>
      </c>
      <c r="T248" s="101">
        <v>983951</v>
      </c>
      <c r="U248" s="101">
        <v>8</v>
      </c>
      <c r="V248" s="101">
        <v>1089967</v>
      </c>
      <c r="W248" s="104">
        <v>0.90700000000000003</v>
      </c>
      <c r="X248" s="101">
        <v>1322200</v>
      </c>
    </row>
    <row r="249" spans="1:24" ht="14">
      <c r="A249" s="93" t="s">
        <v>473</v>
      </c>
      <c r="B249" s="93">
        <v>415479453</v>
      </c>
      <c r="C249" s="94">
        <v>3</v>
      </c>
      <c r="D249" s="95" t="s">
        <v>122</v>
      </c>
      <c r="E249" s="96" t="s">
        <v>143</v>
      </c>
      <c r="F249" s="97">
        <v>18677926698</v>
      </c>
      <c r="G249" s="105" t="s">
        <v>184</v>
      </c>
      <c r="H249" s="100"/>
      <c r="I249" s="100"/>
      <c r="L249" s="101">
        <v>1339844</v>
      </c>
      <c r="M249" s="102">
        <v>2.7023999999999999E-2</v>
      </c>
      <c r="N249" s="103">
        <f t="shared" si="3"/>
        <v>36207.944256000002</v>
      </c>
      <c r="O249" s="101">
        <v>246665</v>
      </c>
      <c r="P249" s="104">
        <v>6.5100000000000005E-2</v>
      </c>
      <c r="Q249" s="104">
        <v>1.78E-2</v>
      </c>
      <c r="R249" s="97">
        <v>54</v>
      </c>
      <c r="S249" s="101">
        <v>115776</v>
      </c>
      <c r="T249" s="101">
        <v>113715</v>
      </c>
      <c r="U249" s="101">
        <v>83</v>
      </c>
      <c r="V249" s="101">
        <v>113419</v>
      </c>
      <c r="W249" s="104">
        <v>0.92900000000000005</v>
      </c>
      <c r="X249" s="101">
        <v>1244715</v>
      </c>
    </row>
    <row r="250" spans="1:24" ht="14">
      <c r="A250" s="93" t="s">
        <v>474</v>
      </c>
      <c r="B250" s="93">
        <v>164139557</v>
      </c>
      <c r="C250" s="94">
        <v>3</v>
      </c>
      <c r="D250" s="95" t="s">
        <v>125</v>
      </c>
      <c r="E250" s="96" t="s">
        <v>276</v>
      </c>
      <c r="F250" s="97">
        <v>18515827827</v>
      </c>
      <c r="G250" s="105"/>
      <c r="H250" s="100"/>
      <c r="I250" s="100"/>
      <c r="L250" s="101">
        <v>1542434</v>
      </c>
      <c r="M250" s="102">
        <v>4.1850000000000004E-3</v>
      </c>
      <c r="N250" s="103">
        <f t="shared" si="3"/>
        <v>6455.0862900000002</v>
      </c>
      <c r="O250" s="101">
        <v>102418</v>
      </c>
      <c r="P250" s="104">
        <v>0.46429999999999999</v>
      </c>
      <c r="Q250" s="104">
        <v>0.1106</v>
      </c>
      <c r="R250" s="97">
        <v>9</v>
      </c>
      <c r="S250" s="101">
        <v>326954</v>
      </c>
      <c r="T250" s="101">
        <v>290793</v>
      </c>
      <c r="U250" s="101">
        <v>12</v>
      </c>
      <c r="V250" s="101">
        <v>338371</v>
      </c>
      <c r="W250" s="104">
        <v>0.92200000000000004</v>
      </c>
      <c r="X250" s="101">
        <v>1422124</v>
      </c>
    </row>
    <row r="251" spans="1:24" ht="14">
      <c r="A251" s="93" t="s">
        <v>475</v>
      </c>
      <c r="B251" s="93">
        <v>2733216</v>
      </c>
      <c r="C251" s="94">
        <v>3</v>
      </c>
      <c r="D251" s="95" t="s">
        <v>125</v>
      </c>
      <c r="E251" s="96" t="s">
        <v>208</v>
      </c>
      <c r="F251" s="97">
        <v>13397158870</v>
      </c>
      <c r="G251" s="105"/>
      <c r="H251" s="100"/>
      <c r="I251" s="100"/>
      <c r="L251" s="101">
        <v>1566586</v>
      </c>
      <c r="M251" s="102">
        <v>2.2790000000000001E-2</v>
      </c>
      <c r="N251" s="103">
        <f t="shared" si="3"/>
        <v>35702.494940000004</v>
      </c>
      <c r="O251" s="101">
        <v>245327</v>
      </c>
      <c r="P251" s="104">
        <v>0.10340000000000001</v>
      </c>
      <c r="Q251" s="104">
        <v>9.7000000000000003E-2</v>
      </c>
      <c r="R251" s="97">
        <v>11</v>
      </c>
      <c r="S251" s="101">
        <v>763467</v>
      </c>
      <c r="T251" s="101">
        <v>689411</v>
      </c>
      <c r="U251" s="101">
        <v>18</v>
      </c>
      <c r="V251" s="101">
        <v>769286</v>
      </c>
      <c r="W251" s="104">
        <v>0.92100000000000004</v>
      </c>
      <c r="X251" s="101">
        <v>1442826</v>
      </c>
    </row>
    <row r="252" spans="1:24" ht="14">
      <c r="A252" s="93" t="s">
        <v>476</v>
      </c>
      <c r="B252" s="93">
        <v>27565758</v>
      </c>
      <c r="C252" s="94">
        <v>3</v>
      </c>
      <c r="D252" s="95" t="s">
        <v>125</v>
      </c>
      <c r="E252" s="96" t="s">
        <v>341</v>
      </c>
      <c r="F252" s="97" t="e">
        <v>#N/A</v>
      </c>
      <c r="G252" s="105"/>
      <c r="H252" s="100"/>
      <c r="I252" s="100"/>
      <c r="L252" s="101">
        <v>1478122</v>
      </c>
      <c r="M252" s="102">
        <v>1.1527000000000001E-2</v>
      </c>
      <c r="N252" s="103">
        <f t="shared" si="3"/>
        <v>17038.312293999999</v>
      </c>
      <c r="O252" s="101">
        <v>71985</v>
      </c>
      <c r="P252" s="104">
        <v>0.27950000000000003</v>
      </c>
      <c r="Q252" s="104">
        <v>0.18429999999999999</v>
      </c>
      <c r="R252" s="97">
        <v>11</v>
      </c>
      <c r="S252" s="101">
        <v>457563</v>
      </c>
      <c r="T252" s="101">
        <v>373234</v>
      </c>
      <c r="U252" s="101">
        <v>18</v>
      </c>
      <c r="V252" s="101">
        <v>390175</v>
      </c>
      <c r="W252" s="104">
        <v>0.91700000000000004</v>
      </c>
      <c r="X252" s="101">
        <v>1355438</v>
      </c>
    </row>
    <row r="253" spans="1:24" ht="14">
      <c r="A253" s="93" t="s">
        <v>477</v>
      </c>
      <c r="B253" s="93">
        <v>2017611</v>
      </c>
      <c r="C253" s="94">
        <v>3</v>
      </c>
      <c r="D253" s="95" t="s">
        <v>125</v>
      </c>
      <c r="E253" s="96" t="s">
        <v>478</v>
      </c>
      <c r="F253" s="97">
        <v>18526201594</v>
      </c>
      <c r="G253" s="105"/>
      <c r="H253" s="100"/>
      <c r="I253" s="100"/>
      <c r="L253" s="101">
        <v>1056993</v>
      </c>
      <c r="M253" s="102">
        <v>8.8520000000000005E-3</v>
      </c>
      <c r="N253" s="103">
        <f t="shared" si="3"/>
        <v>9356.5020359999999</v>
      </c>
      <c r="O253" s="101">
        <v>187616</v>
      </c>
      <c r="P253" s="104">
        <v>0.30480000000000002</v>
      </c>
      <c r="Q253" s="104">
        <v>0.48420000000000002</v>
      </c>
      <c r="R253" s="97">
        <v>11</v>
      </c>
      <c r="S253" s="101">
        <v>1154151</v>
      </c>
      <c r="T253" s="101">
        <v>595311</v>
      </c>
      <c r="U253" s="101">
        <v>19</v>
      </c>
      <c r="V253" s="101">
        <v>1593688</v>
      </c>
      <c r="W253" s="104">
        <v>0.89100000000000001</v>
      </c>
      <c r="X253" s="101">
        <v>941781</v>
      </c>
    </row>
    <row r="254" spans="1:24" ht="14">
      <c r="A254" s="93" t="s">
        <v>479</v>
      </c>
      <c r="B254" s="93">
        <v>297882491</v>
      </c>
      <c r="C254" s="94">
        <v>3</v>
      </c>
      <c r="D254" s="95" t="s">
        <v>122</v>
      </c>
      <c r="E254" s="96" t="s">
        <v>253</v>
      </c>
      <c r="F254" s="97">
        <v>15264367370</v>
      </c>
      <c r="G254" s="105" t="s">
        <v>137</v>
      </c>
      <c r="H254" s="100"/>
      <c r="I254" s="100"/>
      <c r="L254" s="101">
        <v>1552136</v>
      </c>
      <c r="M254" s="102">
        <v>1.8200999999999998E-2</v>
      </c>
      <c r="N254" s="103">
        <f t="shared" si="3"/>
        <v>28250.427335999997</v>
      </c>
      <c r="O254" s="101">
        <v>227233</v>
      </c>
      <c r="P254" s="104">
        <v>0.45069999999999999</v>
      </c>
      <c r="Q254" s="104">
        <v>5.0599999999999999E-2</v>
      </c>
      <c r="R254" s="97">
        <v>9</v>
      </c>
      <c r="S254" s="101">
        <v>733412</v>
      </c>
      <c r="T254" s="101">
        <v>696301</v>
      </c>
      <c r="U254" s="101">
        <v>19</v>
      </c>
      <c r="V254" s="101">
        <v>731675</v>
      </c>
      <c r="W254" s="104">
        <v>0.88900000000000001</v>
      </c>
      <c r="X254" s="101">
        <v>1379849</v>
      </c>
    </row>
    <row r="255" spans="1:24" ht="14">
      <c r="A255" s="93" t="s">
        <v>480</v>
      </c>
      <c r="B255" s="93">
        <v>395135643</v>
      </c>
      <c r="C255" s="94">
        <v>3</v>
      </c>
      <c r="D255" s="95" t="s">
        <v>125</v>
      </c>
      <c r="E255" s="96" t="s">
        <v>208</v>
      </c>
      <c r="F255" s="97">
        <v>15989177827</v>
      </c>
      <c r="G255" s="105"/>
      <c r="H255" s="100"/>
      <c r="I255" s="100"/>
      <c r="L255" s="101">
        <v>1021988</v>
      </c>
      <c r="M255" s="102">
        <v>2.3695999999999998E-2</v>
      </c>
      <c r="N255" s="103">
        <f t="shared" si="3"/>
        <v>24217.027647999999</v>
      </c>
      <c r="O255" s="101">
        <v>181301</v>
      </c>
      <c r="P255" s="104">
        <v>0.15129999999999999</v>
      </c>
      <c r="Q255" s="104">
        <v>0.57430000000000003</v>
      </c>
      <c r="R255" s="97">
        <v>6</v>
      </c>
      <c r="S255" s="101">
        <v>1613866</v>
      </c>
      <c r="T255" s="101">
        <v>687091</v>
      </c>
      <c r="U255" s="101">
        <v>9</v>
      </c>
      <c r="V255" s="101">
        <v>1554530</v>
      </c>
      <c r="W255" s="104">
        <v>0.80700000000000005</v>
      </c>
      <c r="X255" s="101">
        <v>824744</v>
      </c>
    </row>
    <row r="256" spans="1:24" ht="14">
      <c r="A256" s="93" t="s">
        <v>481</v>
      </c>
      <c r="B256" s="93">
        <v>585267</v>
      </c>
      <c r="C256" s="94">
        <v>3</v>
      </c>
      <c r="D256" s="95" t="s">
        <v>125</v>
      </c>
      <c r="E256" s="96" t="s">
        <v>147</v>
      </c>
      <c r="F256" s="97">
        <v>13001712910</v>
      </c>
      <c r="G256" s="105"/>
      <c r="H256" s="100"/>
      <c r="I256" s="100"/>
      <c r="L256" s="101">
        <v>3903758</v>
      </c>
      <c r="M256" s="102">
        <v>1.0557E-2</v>
      </c>
      <c r="N256" s="103">
        <f t="shared" si="3"/>
        <v>41211.973206000002</v>
      </c>
      <c r="O256" s="101">
        <v>130386</v>
      </c>
      <c r="P256" s="104">
        <v>1.37E-2</v>
      </c>
      <c r="Q256" s="104">
        <v>2.9399999999999999E-2</v>
      </c>
      <c r="R256" s="97">
        <v>0</v>
      </c>
      <c r="S256" s="101">
        <v>0</v>
      </c>
      <c r="T256" s="101">
        <v>0</v>
      </c>
      <c r="U256" s="101">
        <v>2</v>
      </c>
      <c r="V256" s="101">
        <v>4751081</v>
      </c>
      <c r="W256" s="104">
        <v>0.94099999999999995</v>
      </c>
      <c r="X256" s="101">
        <v>3673436</v>
      </c>
    </row>
    <row r="257" spans="1:24" ht="14">
      <c r="A257" s="93" t="s">
        <v>482</v>
      </c>
      <c r="B257" s="93">
        <v>249115678</v>
      </c>
      <c r="C257" s="94">
        <v>3</v>
      </c>
      <c r="D257" s="95" t="s">
        <v>125</v>
      </c>
      <c r="E257" s="96" t="s">
        <v>147</v>
      </c>
      <c r="F257" s="97">
        <v>15829788277</v>
      </c>
      <c r="G257" s="105"/>
      <c r="H257" s="100"/>
      <c r="I257" s="100"/>
      <c r="L257" s="101">
        <v>1441829</v>
      </c>
      <c r="M257" s="102">
        <v>1.4989999999999999E-3</v>
      </c>
      <c r="N257" s="103">
        <f t="shared" si="3"/>
        <v>2161.3016709999997</v>
      </c>
      <c r="O257" s="101">
        <v>151104</v>
      </c>
      <c r="P257" s="104">
        <v>0.11890000000000001</v>
      </c>
      <c r="Q257" s="104">
        <v>2.1899999999999999E-2</v>
      </c>
      <c r="R257" s="97">
        <v>23</v>
      </c>
      <c r="S257" s="101">
        <v>822923</v>
      </c>
      <c r="T257" s="101">
        <v>804901</v>
      </c>
      <c r="U257" s="101">
        <v>38</v>
      </c>
      <c r="V257" s="101">
        <v>849689</v>
      </c>
      <c r="W257" s="104">
        <v>0.88800000000000001</v>
      </c>
      <c r="X257" s="101">
        <v>1280344</v>
      </c>
    </row>
    <row r="258" spans="1:24" ht="14">
      <c r="A258" s="93" t="s">
        <v>483</v>
      </c>
      <c r="B258" s="93">
        <v>497525820</v>
      </c>
      <c r="C258" s="94">
        <v>3</v>
      </c>
      <c r="D258" s="95" t="s">
        <v>125</v>
      </c>
      <c r="E258" s="96" t="s">
        <v>167</v>
      </c>
      <c r="F258" s="97">
        <v>13788115415</v>
      </c>
      <c r="G258" s="105"/>
      <c r="H258" s="100"/>
      <c r="I258" s="100"/>
      <c r="L258" s="101">
        <v>1466822</v>
      </c>
      <c r="M258" s="102">
        <v>1.3600000000000001E-3</v>
      </c>
      <c r="N258" s="103">
        <f t="shared" ref="N258:N321" si="4">L258*M258</f>
        <v>1994.8779200000001</v>
      </c>
      <c r="O258" s="101">
        <v>266522</v>
      </c>
      <c r="P258" s="104">
        <v>0.28360000000000002</v>
      </c>
      <c r="Q258" s="104">
        <v>0.1381</v>
      </c>
      <c r="R258" s="97">
        <v>23</v>
      </c>
      <c r="S258" s="101">
        <v>1692968</v>
      </c>
      <c r="T258" s="101">
        <v>1459169</v>
      </c>
      <c r="U258" s="101">
        <v>50</v>
      </c>
      <c r="V258" s="101">
        <v>1529088</v>
      </c>
      <c r="W258" s="104">
        <v>0.878</v>
      </c>
      <c r="X258" s="101">
        <v>1287870</v>
      </c>
    </row>
    <row r="259" spans="1:24" ht="14">
      <c r="A259" s="93" t="s">
        <v>484</v>
      </c>
      <c r="B259" s="93">
        <v>1565155</v>
      </c>
      <c r="C259" s="94">
        <v>3</v>
      </c>
      <c r="D259" s="95" t="s">
        <v>125</v>
      </c>
      <c r="E259" s="96" t="s">
        <v>147</v>
      </c>
      <c r="F259" s="97">
        <v>18402140574</v>
      </c>
      <c r="G259" s="105"/>
      <c r="H259" s="100"/>
      <c r="I259" s="100"/>
      <c r="L259" s="101">
        <v>3237744</v>
      </c>
      <c r="M259" s="102">
        <v>9.7199999999999999E-4</v>
      </c>
      <c r="N259" s="103">
        <f t="shared" si="4"/>
        <v>3147.087168</v>
      </c>
      <c r="O259" s="101">
        <v>30435</v>
      </c>
      <c r="P259" s="104">
        <v>5.7999999999999996E-3</v>
      </c>
      <c r="Q259" s="104">
        <v>3.0099999999999998E-2</v>
      </c>
      <c r="R259" s="97">
        <v>1</v>
      </c>
      <c r="S259" s="101">
        <v>1121966</v>
      </c>
      <c r="T259" s="101">
        <v>1088195</v>
      </c>
      <c r="U259" s="101">
        <v>1</v>
      </c>
      <c r="V259" s="101">
        <v>1939987</v>
      </c>
      <c r="W259" s="104">
        <v>0.94</v>
      </c>
      <c r="X259" s="101">
        <v>3043479</v>
      </c>
    </row>
    <row r="260" spans="1:24" ht="14">
      <c r="A260" s="93" t="s">
        <v>485</v>
      </c>
      <c r="B260" s="93">
        <v>375375</v>
      </c>
      <c r="C260" s="94">
        <v>3</v>
      </c>
      <c r="D260" s="95" t="s">
        <v>125</v>
      </c>
      <c r="E260" s="96" t="s">
        <v>245</v>
      </c>
      <c r="F260" s="97">
        <v>15211153194</v>
      </c>
      <c r="G260" s="105"/>
      <c r="H260" s="100"/>
      <c r="I260" s="100"/>
      <c r="L260" s="101">
        <v>7270322</v>
      </c>
      <c r="M260" s="102">
        <v>6.9399999999999996E-4</v>
      </c>
      <c r="N260" s="103">
        <f t="shared" si="4"/>
        <v>5045.6034679999993</v>
      </c>
      <c r="O260" s="101">
        <v>130866</v>
      </c>
      <c r="P260" s="104">
        <v>5.1999999999999998E-3</v>
      </c>
      <c r="Q260" s="104">
        <v>8.5000000000000006E-3</v>
      </c>
      <c r="R260" s="97">
        <v>0</v>
      </c>
      <c r="S260" s="101">
        <v>0</v>
      </c>
      <c r="T260" s="101">
        <v>0</v>
      </c>
      <c r="U260" s="101">
        <v>0</v>
      </c>
      <c r="V260" s="101">
        <v>0</v>
      </c>
      <c r="W260" s="104">
        <v>0.92</v>
      </c>
      <c r="X260" s="101">
        <v>6688696</v>
      </c>
    </row>
    <row r="261" spans="1:24" ht="14">
      <c r="A261" s="93" t="s">
        <v>486</v>
      </c>
      <c r="B261" s="93">
        <v>2206456</v>
      </c>
      <c r="C261" s="94">
        <v>3</v>
      </c>
      <c r="D261" s="95" t="s">
        <v>125</v>
      </c>
      <c r="E261" s="96" t="s">
        <v>154</v>
      </c>
      <c r="F261" s="97">
        <v>15000508833</v>
      </c>
      <c r="G261" s="105"/>
      <c r="H261" s="100"/>
      <c r="I261" s="100"/>
      <c r="L261" s="101">
        <v>5747396</v>
      </c>
      <c r="M261" s="102">
        <v>2.428E-3</v>
      </c>
      <c r="N261" s="103">
        <f t="shared" si="4"/>
        <v>13954.677487999999</v>
      </c>
      <c r="O261" s="101">
        <v>111499</v>
      </c>
      <c r="P261" s="104">
        <v>6.1000000000000004E-3</v>
      </c>
      <c r="Q261" s="104">
        <v>0.1065</v>
      </c>
      <c r="R261" s="97">
        <v>0</v>
      </c>
      <c r="S261" s="101">
        <v>0</v>
      </c>
      <c r="T261" s="101">
        <v>0</v>
      </c>
      <c r="U261" s="101">
        <v>0</v>
      </c>
      <c r="V261" s="101">
        <v>0</v>
      </c>
      <c r="W261" s="104">
        <v>0.877</v>
      </c>
      <c r="X261" s="101">
        <v>5040466</v>
      </c>
    </row>
    <row r="262" spans="1:24" ht="14">
      <c r="A262" s="93" t="s">
        <v>487</v>
      </c>
      <c r="B262" s="93">
        <v>2374194</v>
      </c>
      <c r="C262" s="94">
        <v>2</v>
      </c>
      <c r="D262" s="95" t="s">
        <v>125</v>
      </c>
      <c r="E262" s="96" t="s">
        <v>253</v>
      </c>
      <c r="F262" s="97">
        <v>15680719935</v>
      </c>
      <c r="G262" s="105"/>
      <c r="H262" s="100"/>
      <c r="I262" s="100"/>
      <c r="L262" s="101">
        <v>2346182</v>
      </c>
      <c r="M262" s="102">
        <v>1.769E-3</v>
      </c>
      <c r="N262" s="103">
        <f t="shared" si="4"/>
        <v>4150.3959580000001</v>
      </c>
      <c r="O262" s="101">
        <v>45047</v>
      </c>
      <c r="P262" s="104">
        <v>6.4699999999999994E-2</v>
      </c>
      <c r="Q262" s="104">
        <v>2.3900000000000001E-2</v>
      </c>
      <c r="R262" s="97">
        <v>5</v>
      </c>
      <c r="S262" s="101">
        <v>305772</v>
      </c>
      <c r="T262" s="101">
        <v>298464</v>
      </c>
      <c r="U262" s="101">
        <v>8</v>
      </c>
      <c r="V262" s="101">
        <v>401871</v>
      </c>
      <c r="W262" s="104">
        <v>0.92700000000000005</v>
      </c>
      <c r="X262" s="101">
        <v>2174911</v>
      </c>
    </row>
    <row r="263" spans="1:24" ht="14">
      <c r="A263" s="93" t="s">
        <v>488</v>
      </c>
      <c r="B263" s="93">
        <v>433351</v>
      </c>
      <c r="C263" s="94">
        <v>2</v>
      </c>
      <c r="D263" s="95" t="s">
        <v>125</v>
      </c>
      <c r="E263" s="96" t="s">
        <v>147</v>
      </c>
      <c r="F263" s="97">
        <v>15827554990</v>
      </c>
      <c r="G263" s="105"/>
      <c r="H263" s="100"/>
      <c r="I263" s="100"/>
      <c r="L263" s="101">
        <v>3210109</v>
      </c>
      <c r="M263" s="102">
        <v>7.3109999999999998E-3</v>
      </c>
      <c r="N263" s="103">
        <f t="shared" si="4"/>
        <v>23469.106898999999</v>
      </c>
      <c r="O263" s="101">
        <v>887916</v>
      </c>
      <c r="P263" s="104">
        <v>9.69E-2</v>
      </c>
      <c r="Q263" s="104">
        <v>2.3300000000000001E-2</v>
      </c>
      <c r="R263" s="97">
        <v>119</v>
      </c>
      <c r="S263" s="101">
        <v>35596</v>
      </c>
      <c r="T263" s="101">
        <v>34767</v>
      </c>
      <c r="U263" s="101">
        <v>232</v>
      </c>
      <c r="V263" s="101">
        <v>45050</v>
      </c>
      <c r="W263" s="104">
        <v>0.93899999999999995</v>
      </c>
      <c r="X263" s="101">
        <v>3014292</v>
      </c>
    </row>
    <row r="264" spans="1:24" ht="14">
      <c r="A264" s="93" t="s">
        <v>489</v>
      </c>
      <c r="B264" s="93">
        <v>1893045</v>
      </c>
      <c r="C264" s="94">
        <v>2</v>
      </c>
      <c r="D264" s="95" t="s">
        <v>125</v>
      </c>
      <c r="E264" s="96" t="s">
        <v>384</v>
      </c>
      <c r="F264" s="97">
        <v>18782218042</v>
      </c>
      <c r="G264" s="105"/>
      <c r="H264" s="100"/>
      <c r="I264" s="100"/>
      <c r="L264" s="101">
        <v>3398431</v>
      </c>
      <c r="M264" s="102">
        <v>6.7599999999999995E-4</v>
      </c>
      <c r="N264" s="103">
        <f t="shared" si="4"/>
        <v>2297.339356</v>
      </c>
      <c r="O264" s="101">
        <v>143074</v>
      </c>
      <c r="P264" s="104">
        <v>3.9E-2</v>
      </c>
      <c r="Q264" s="104">
        <v>0.79290000000000005</v>
      </c>
      <c r="R264" s="97">
        <v>5</v>
      </c>
      <c r="S264" s="101">
        <v>1687399</v>
      </c>
      <c r="T264" s="101">
        <v>349460</v>
      </c>
      <c r="U264" s="101">
        <v>8</v>
      </c>
      <c r="V264" s="101">
        <v>1969596</v>
      </c>
      <c r="W264" s="104">
        <v>0.86399999999999999</v>
      </c>
      <c r="X264" s="101">
        <v>2936244</v>
      </c>
    </row>
    <row r="265" spans="1:24" ht="14">
      <c r="A265" s="93" t="s">
        <v>490</v>
      </c>
      <c r="B265" s="93">
        <v>27756469</v>
      </c>
      <c r="C265" s="94">
        <v>2</v>
      </c>
      <c r="D265" s="95" t="s">
        <v>125</v>
      </c>
      <c r="E265" s="96" t="s">
        <v>384</v>
      </c>
      <c r="F265" s="97">
        <v>13704630744</v>
      </c>
      <c r="G265" s="105"/>
      <c r="H265" s="100"/>
      <c r="I265" s="100"/>
      <c r="L265" s="101">
        <v>2026395</v>
      </c>
      <c r="M265" s="102">
        <v>1.256E-3</v>
      </c>
      <c r="N265" s="103">
        <f t="shared" si="4"/>
        <v>2545.1521199999997</v>
      </c>
      <c r="O265" s="101">
        <v>13577</v>
      </c>
      <c r="P265" s="104">
        <v>0.1115</v>
      </c>
      <c r="Q265" s="104">
        <v>0.30719999999999997</v>
      </c>
      <c r="R265" s="97">
        <v>2</v>
      </c>
      <c r="S265" s="101">
        <v>1292907</v>
      </c>
      <c r="T265" s="101">
        <v>895726</v>
      </c>
      <c r="U265" s="101">
        <v>2</v>
      </c>
      <c r="V265" s="101">
        <v>1344517</v>
      </c>
      <c r="W265" s="104">
        <v>0.91300000000000003</v>
      </c>
      <c r="X265" s="101">
        <v>1850099</v>
      </c>
    </row>
    <row r="266" spans="1:24" ht="14">
      <c r="A266" s="93" t="s">
        <v>491</v>
      </c>
      <c r="B266" s="93">
        <v>335575297</v>
      </c>
      <c r="C266" s="94">
        <v>2</v>
      </c>
      <c r="D266" s="95" t="s">
        <v>125</v>
      </c>
      <c r="E266" s="96" t="s">
        <v>384</v>
      </c>
      <c r="F266" s="97">
        <v>18519327877</v>
      </c>
      <c r="G266" s="105"/>
      <c r="H266" s="100"/>
      <c r="I266" s="100"/>
      <c r="L266" s="101">
        <v>1734806</v>
      </c>
      <c r="M266" s="102">
        <v>1.2880000000000001E-3</v>
      </c>
      <c r="N266" s="103">
        <f t="shared" si="4"/>
        <v>2234.430128</v>
      </c>
      <c r="O266" s="101">
        <v>170531</v>
      </c>
      <c r="P266" s="104">
        <v>4.58E-2</v>
      </c>
      <c r="Q266" s="104">
        <v>0.66830000000000001</v>
      </c>
      <c r="R266" s="97">
        <v>2</v>
      </c>
      <c r="S266" s="101">
        <v>1252227</v>
      </c>
      <c r="T266" s="101">
        <v>415364</v>
      </c>
      <c r="U266" s="101">
        <v>3</v>
      </c>
      <c r="V266" s="101">
        <v>1592011</v>
      </c>
      <c r="W266" s="104">
        <v>0.86099999999999999</v>
      </c>
      <c r="X266" s="101">
        <v>1493668</v>
      </c>
    </row>
    <row r="267" spans="1:24" ht="14">
      <c r="A267" s="93" t="s">
        <v>492</v>
      </c>
      <c r="B267" s="93">
        <v>1951038</v>
      </c>
      <c r="C267" s="94">
        <v>2</v>
      </c>
      <c r="D267" s="95" t="s">
        <v>125</v>
      </c>
      <c r="E267" s="96" t="s">
        <v>253</v>
      </c>
      <c r="F267" s="97">
        <v>18500644863</v>
      </c>
      <c r="G267" s="105"/>
      <c r="H267" s="100"/>
      <c r="I267" s="100"/>
      <c r="L267" s="101">
        <v>1386189</v>
      </c>
      <c r="M267" s="102">
        <v>3.2139999999999998E-3</v>
      </c>
      <c r="N267" s="103">
        <f t="shared" si="4"/>
        <v>4455.2114459999993</v>
      </c>
      <c r="O267" s="101">
        <v>45606</v>
      </c>
      <c r="P267" s="104">
        <v>0.30080000000000001</v>
      </c>
      <c r="Q267" s="104">
        <v>2.5999999999999999E-2</v>
      </c>
      <c r="R267" s="97">
        <v>8</v>
      </c>
      <c r="S267" s="101">
        <v>217647</v>
      </c>
      <c r="T267" s="101">
        <v>211988</v>
      </c>
      <c r="U267" s="101">
        <v>48</v>
      </c>
      <c r="V267" s="101">
        <v>173983</v>
      </c>
      <c r="W267" s="104">
        <v>0.92300000000000004</v>
      </c>
      <c r="X267" s="101">
        <v>1279452</v>
      </c>
    </row>
    <row r="268" spans="1:24" ht="14">
      <c r="A268" s="93" t="s">
        <v>493</v>
      </c>
      <c r="B268" s="93">
        <v>38351330</v>
      </c>
      <c r="C268" s="94">
        <v>2</v>
      </c>
      <c r="D268" s="95" t="s">
        <v>125</v>
      </c>
      <c r="E268" s="96" t="s">
        <v>194</v>
      </c>
      <c r="F268" s="97">
        <v>15766804496</v>
      </c>
      <c r="G268" s="105"/>
      <c r="H268" s="100"/>
      <c r="I268" s="100"/>
      <c r="L268" s="101">
        <v>1528192</v>
      </c>
      <c r="M268" s="102">
        <v>3.6129999999999999E-3</v>
      </c>
      <c r="N268" s="103">
        <f t="shared" si="4"/>
        <v>5521.357696</v>
      </c>
      <c r="O268" s="101">
        <v>27966</v>
      </c>
      <c r="P268" s="104">
        <v>0.76190000000000002</v>
      </c>
      <c r="Q268" s="104">
        <v>4.4000000000000003E-3</v>
      </c>
      <c r="R268" s="97">
        <v>7</v>
      </c>
      <c r="S268" s="101">
        <v>103595</v>
      </c>
      <c r="T268" s="101">
        <v>103139</v>
      </c>
      <c r="U268" s="101">
        <v>11</v>
      </c>
      <c r="V268" s="101">
        <v>287704</v>
      </c>
      <c r="W268" s="104">
        <v>0.92</v>
      </c>
      <c r="X268" s="101">
        <v>1405937</v>
      </c>
    </row>
    <row r="269" spans="1:24" ht="14">
      <c r="A269" s="93" t="s">
        <v>494</v>
      </c>
      <c r="B269" s="93">
        <v>26139491</v>
      </c>
      <c r="C269" s="94">
        <v>2</v>
      </c>
      <c r="D269" s="95" t="s">
        <v>125</v>
      </c>
      <c r="E269" s="96" t="s">
        <v>128</v>
      </c>
      <c r="F269" s="97">
        <v>13818894047</v>
      </c>
      <c r="G269" s="105"/>
      <c r="H269" s="100"/>
      <c r="I269" s="100"/>
      <c r="L269" s="101">
        <v>3636924</v>
      </c>
      <c r="M269" s="102">
        <v>2.0019999999999999E-3</v>
      </c>
      <c r="N269" s="103">
        <f t="shared" si="4"/>
        <v>7281.1218479999998</v>
      </c>
      <c r="O269" s="101">
        <v>189484</v>
      </c>
      <c r="P269" s="104">
        <v>3.8E-3</v>
      </c>
      <c r="Q269" s="104">
        <v>3.4799999999999998E-2</v>
      </c>
      <c r="R269" s="97">
        <v>0</v>
      </c>
      <c r="S269" s="101">
        <v>0</v>
      </c>
      <c r="T269" s="101">
        <v>0</v>
      </c>
      <c r="U269" s="101">
        <v>0</v>
      </c>
      <c r="V269" s="101">
        <v>0</v>
      </c>
      <c r="W269" s="104">
        <v>0.92500000000000004</v>
      </c>
      <c r="X269" s="101">
        <v>3364155</v>
      </c>
    </row>
    <row r="270" spans="1:24" ht="14">
      <c r="A270" s="93" t="s">
        <v>495</v>
      </c>
      <c r="B270" s="93">
        <v>612194373</v>
      </c>
      <c r="C270" s="94">
        <v>2</v>
      </c>
      <c r="D270" s="95" t="s">
        <v>125</v>
      </c>
      <c r="E270" s="96" t="s">
        <v>130</v>
      </c>
      <c r="F270" s="97">
        <v>13189786199</v>
      </c>
      <c r="G270" s="105"/>
      <c r="H270" s="100"/>
      <c r="I270" s="100"/>
      <c r="L270" s="101">
        <v>3032464</v>
      </c>
      <c r="M270" s="102">
        <v>7.8670000000000007E-3</v>
      </c>
      <c r="N270" s="103">
        <f t="shared" si="4"/>
        <v>23856.394288000003</v>
      </c>
      <c r="O270" s="101">
        <v>116447</v>
      </c>
      <c r="P270" s="104">
        <v>4.4999999999999997E-3</v>
      </c>
      <c r="Q270" s="104">
        <v>3.1399999999999997E-2</v>
      </c>
      <c r="R270" s="97">
        <v>0</v>
      </c>
      <c r="S270" s="101">
        <v>0</v>
      </c>
      <c r="T270" s="101">
        <v>0</v>
      </c>
      <c r="U270" s="101">
        <v>0</v>
      </c>
      <c r="V270" s="101">
        <v>0</v>
      </c>
      <c r="W270" s="104">
        <v>0.91700000000000004</v>
      </c>
      <c r="X270" s="101">
        <v>2780769</v>
      </c>
    </row>
    <row r="271" spans="1:24" ht="14">
      <c r="A271" s="93" t="s">
        <v>496</v>
      </c>
      <c r="B271" s="93">
        <v>66391032</v>
      </c>
      <c r="C271" s="94">
        <v>2</v>
      </c>
      <c r="D271" s="95" t="s">
        <v>122</v>
      </c>
      <c r="E271" s="96" t="s">
        <v>210</v>
      </c>
      <c r="F271" s="97">
        <v>13931315646</v>
      </c>
      <c r="G271" s="105" t="s">
        <v>22</v>
      </c>
      <c r="H271" s="99"/>
      <c r="I271" s="100"/>
      <c r="L271" s="101">
        <v>4243816</v>
      </c>
      <c r="M271" s="102">
        <v>5.7970000000000001E-3</v>
      </c>
      <c r="N271" s="103">
        <f t="shared" si="4"/>
        <v>24601.401352000001</v>
      </c>
      <c r="O271" s="101">
        <v>156172</v>
      </c>
      <c r="P271" s="104">
        <v>2.2800000000000001E-2</v>
      </c>
      <c r="Q271" s="104">
        <v>0.1376</v>
      </c>
      <c r="R271" s="97">
        <v>0</v>
      </c>
      <c r="S271" s="101">
        <v>0</v>
      </c>
      <c r="T271" s="101">
        <v>0</v>
      </c>
      <c r="U271" s="101">
        <v>1</v>
      </c>
      <c r="V271" s="101">
        <v>13063156</v>
      </c>
      <c r="W271" s="104">
        <v>0.91600000000000004</v>
      </c>
      <c r="X271" s="101">
        <v>3887335</v>
      </c>
    </row>
    <row r="272" spans="1:24" ht="14">
      <c r="A272" s="93" t="s">
        <v>497</v>
      </c>
      <c r="B272" s="93">
        <v>314791153</v>
      </c>
      <c r="C272" s="94">
        <v>2</v>
      </c>
      <c r="D272" s="95" t="s">
        <v>125</v>
      </c>
      <c r="E272" s="96" t="s">
        <v>276</v>
      </c>
      <c r="F272" s="97">
        <v>13879329000</v>
      </c>
      <c r="G272" s="105"/>
      <c r="H272" s="100"/>
      <c r="I272" s="100"/>
      <c r="L272" s="101">
        <v>1447803</v>
      </c>
      <c r="M272" s="102">
        <v>1.1900000000000001E-4</v>
      </c>
      <c r="N272" s="103">
        <f t="shared" si="4"/>
        <v>172.288557</v>
      </c>
      <c r="O272" s="101">
        <v>50094</v>
      </c>
      <c r="P272" s="104">
        <v>0.28610000000000002</v>
      </c>
      <c r="Q272" s="104">
        <v>5.8999999999999999E-3</v>
      </c>
      <c r="R272" s="97">
        <v>2</v>
      </c>
      <c r="S272" s="101">
        <v>853458</v>
      </c>
      <c r="T272" s="101">
        <v>848423</v>
      </c>
      <c r="U272" s="101">
        <v>16</v>
      </c>
      <c r="V272" s="101">
        <v>963867</v>
      </c>
      <c r="W272" s="104">
        <v>0.89800000000000002</v>
      </c>
      <c r="X272" s="101">
        <v>1300127</v>
      </c>
    </row>
    <row r="273" spans="1:24" ht="14">
      <c r="A273" s="93" t="s">
        <v>498</v>
      </c>
      <c r="B273" s="93">
        <v>1858861103</v>
      </c>
      <c r="C273" s="94">
        <v>2</v>
      </c>
      <c r="D273" s="95" t="s">
        <v>125</v>
      </c>
      <c r="E273" s="96" t="s">
        <v>147</v>
      </c>
      <c r="F273" s="97">
        <v>18502308321</v>
      </c>
      <c r="G273" s="105"/>
      <c r="H273" s="100"/>
      <c r="I273" s="100"/>
      <c r="L273" s="101">
        <v>3017898</v>
      </c>
      <c r="M273" s="102">
        <v>4.8539999999999998E-3</v>
      </c>
      <c r="N273" s="103">
        <f t="shared" si="4"/>
        <v>14648.876892</v>
      </c>
      <c r="O273" s="101">
        <v>101401</v>
      </c>
      <c r="P273" s="104">
        <v>3.2599999999999997E-2</v>
      </c>
      <c r="Q273" s="104">
        <v>0.2535</v>
      </c>
      <c r="R273" s="97">
        <v>0</v>
      </c>
      <c r="S273" s="101">
        <v>0</v>
      </c>
      <c r="T273" s="101">
        <v>0</v>
      </c>
      <c r="U273" s="101">
        <v>3</v>
      </c>
      <c r="V273" s="101">
        <v>3372168</v>
      </c>
      <c r="W273" s="104">
        <v>0.85699999999999998</v>
      </c>
      <c r="X273" s="101">
        <v>2586339</v>
      </c>
    </row>
    <row r="274" spans="1:24" ht="14">
      <c r="A274" s="93" t="s">
        <v>499</v>
      </c>
      <c r="B274" s="93">
        <v>122879</v>
      </c>
      <c r="C274" s="94">
        <v>2</v>
      </c>
      <c r="D274" s="95" t="s">
        <v>125</v>
      </c>
      <c r="E274" s="96" t="s">
        <v>147</v>
      </c>
      <c r="F274" s="97">
        <v>15908106504</v>
      </c>
      <c r="G274" s="105"/>
      <c r="H274" s="100"/>
      <c r="I274" s="100"/>
      <c r="L274" s="101">
        <v>5733914</v>
      </c>
      <c r="M274" s="102">
        <v>8.5599999999999999E-4</v>
      </c>
      <c r="N274" s="103">
        <f t="shared" si="4"/>
        <v>4908.2303839999995</v>
      </c>
      <c r="O274" s="101">
        <v>37844</v>
      </c>
      <c r="P274" s="104">
        <v>3.3999999999999998E-3</v>
      </c>
      <c r="Q274" s="104">
        <v>4.87E-2</v>
      </c>
      <c r="R274" s="97">
        <v>0</v>
      </c>
      <c r="S274" s="101">
        <v>0</v>
      </c>
      <c r="T274" s="101">
        <v>0</v>
      </c>
      <c r="U274" s="101">
        <v>0</v>
      </c>
      <c r="V274" s="101">
        <v>0</v>
      </c>
      <c r="W274" s="104">
        <v>0.92700000000000005</v>
      </c>
      <c r="X274" s="101">
        <v>5315338</v>
      </c>
    </row>
    <row r="275" spans="1:24" ht="14">
      <c r="A275" s="93" t="s">
        <v>500</v>
      </c>
      <c r="B275" s="93">
        <v>355596637</v>
      </c>
      <c r="C275" s="94">
        <v>2</v>
      </c>
      <c r="D275" s="95" t="s">
        <v>125</v>
      </c>
      <c r="E275" s="96" t="s">
        <v>167</v>
      </c>
      <c r="F275" s="97">
        <v>18518367621</v>
      </c>
      <c r="G275" s="105"/>
      <c r="H275" s="100"/>
      <c r="I275" s="100"/>
      <c r="L275" s="101">
        <v>1361726</v>
      </c>
      <c r="M275" s="102">
        <v>1.024E-3</v>
      </c>
      <c r="N275" s="103">
        <f t="shared" si="4"/>
        <v>1394.407424</v>
      </c>
      <c r="O275" s="101">
        <v>77482</v>
      </c>
      <c r="P275" s="104">
        <v>0.23910000000000001</v>
      </c>
      <c r="Q275" s="104">
        <v>7.8299999999999995E-2</v>
      </c>
      <c r="R275" s="97">
        <v>4</v>
      </c>
      <c r="S275" s="101">
        <v>389434</v>
      </c>
      <c r="T275" s="101">
        <v>358941</v>
      </c>
      <c r="U275" s="101">
        <v>5</v>
      </c>
      <c r="V275" s="101">
        <v>508162</v>
      </c>
      <c r="W275" s="104">
        <v>0.93</v>
      </c>
      <c r="X275" s="101">
        <v>1266405</v>
      </c>
    </row>
    <row r="276" spans="1:24" ht="14">
      <c r="A276" s="93" t="s">
        <v>501</v>
      </c>
      <c r="B276" s="93">
        <v>6272357</v>
      </c>
      <c r="C276" s="94">
        <v>2</v>
      </c>
      <c r="D276" s="95" t="s">
        <v>125</v>
      </c>
      <c r="E276" s="96" t="s">
        <v>141</v>
      </c>
      <c r="F276" s="97">
        <v>18573149665</v>
      </c>
      <c r="G276" s="105"/>
      <c r="H276" s="100"/>
      <c r="I276" s="100"/>
      <c r="L276" s="101">
        <v>1420539</v>
      </c>
      <c r="M276" s="102">
        <v>1.0870000000000001E-3</v>
      </c>
      <c r="N276" s="103">
        <f t="shared" si="4"/>
        <v>1544.1258930000001</v>
      </c>
      <c r="O276" s="101">
        <v>83102</v>
      </c>
      <c r="P276" s="104">
        <v>0.2959</v>
      </c>
      <c r="Q276" s="104">
        <v>0.88239999999999996</v>
      </c>
      <c r="R276" s="97">
        <v>4</v>
      </c>
      <c r="S276" s="101">
        <v>1619956</v>
      </c>
      <c r="T276" s="101">
        <v>190507</v>
      </c>
      <c r="U276" s="101">
        <v>8</v>
      </c>
      <c r="V276" s="101">
        <v>1462602</v>
      </c>
      <c r="W276" s="104">
        <v>0.92</v>
      </c>
      <c r="X276" s="101">
        <v>1306896</v>
      </c>
    </row>
    <row r="277" spans="1:24" ht="14">
      <c r="A277" s="93" t="s">
        <v>502</v>
      </c>
      <c r="B277" s="93">
        <v>371846699</v>
      </c>
      <c r="C277" s="94">
        <v>2</v>
      </c>
      <c r="D277" s="95" t="s">
        <v>122</v>
      </c>
      <c r="E277" s="96" t="s">
        <v>503</v>
      </c>
      <c r="F277" s="97">
        <v>19925332563</v>
      </c>
      <c r="G277" s="105" t="s">
        <v>26</v>
      </c>
      <c r="H277" s="99" t="s">
        <v>155</v>
      </c>
      <c r="I277" s="100" t="s">
        <v>257</v>
      </c>
      <c r="J277" t="s">
        <v>504</v>
      </c>
      <c r="L277" s="101">
        <v>1096590</v>
      </c>
      <c r="M277" s="102">
        <v>9.5399999999999999E-4</v>
      </c>
      <c r="N277" s="103">
        <f t="shared" si="4"/>
        <v>1046.1468600000001</v>
      </c>
      <c r="O277" s="101">
        <v>64918</v>
      </c>
      <c r="P277" s="104">
        <v>5.57E-2</v>
      </c>
      <c r="Q277" s="104">
        <v>0.3538</v>
      </c>
      <c r="R277" s="97">
        <v>10</v>
      </c>
      <c r="S277" s="101">
        <v>482979</v>
      </c>
      <c r="T277" s="101">
        <v>312101</v>
      </c>
      <c r="U277" s="101">
        <v>18</v>
      </c>
      <c r="V277" s="101">
        <v>434107</v>
      </c>
      <c r="W277" s="104">
        <v>0.91600000000000004</v>
      </c>
      <c r="X277" s="101">
        <v>1004476</v>
      </c>
    </row>
    <row r="278" spans="1:24" ht="14">
      <c r="A278" s="93" t="s">
        <v>505</v>
      </c>
      <c r="B278" s="93">
        <v>4408538</v>
      </c>
      <c r="C278" s="94">
        <v>2</v>
      </c>
      <c r="D278" s="95" t="s">
        <v>125</v>
      </c>
      <c r="E278" s="96" t="s">
        <v>130</v>
      </c>
      <c r="F278" s="97">
        <v>13312950813</v>
      </c>
      <c r="G278" s="105"/>
      <c r="H278" s="100"/>
      <c r="I278" s="100"/>
      <c r="L278" s="101">
        <v>2606430</v>
      </c>
      <c r="M278" s="102">
        <v>1.0081E-2</v>
      </c>
      <c r="N278" s="103">
        <f t="shared" si="4"/>
        <v>26275.420829999999</v>
      </c>
      <c r="O278" s="101">
        <v>67767</v>
      </c>
      <c r="P278" s="104">
        <v>1.4E-3</v>
      </c>
      <c r="Q278" s="104">
        <v>2.6700000000000002E-2</v>
      </c>
      <c r="R278" s="97">
        <v>0</v>
      </c>
      <c r="S278" s="101">
        <v>0</v>
      </c>
      <c r="T278" s="101">
        <v>0</v>
      </c>
      <c r="U278" s="101">
        <v>0</v>
      </c>
      <c r="V278" s="101">
        <v>0</v>
      </c>
      <c r="W278" s="104">
        <v>0.92200000000000004</v>
      </c>
      <c r="X278" s="101">
        <v>2403128</v>
      </c>
    </row>
    <row r="279" spans="1:24" ht="14">
      <c r="A279" s="93" t="s">
        <v>506</v>
      </c>
      <c r="B279" s="93">
        <v>3379951</v>
      </c>
      <c r="C279" s="94">
        <v>2</v>
      </c>
      <c r="D279" s="95" t="s">
        <v>125</v>
      </c>
      <c r="E279" s="96" t="s">
        <v>253</v>
      </c>
      <c r="F279" s="97">
        <v>15846614245</v>
      </c>
      <c r="G279" s="105"/>
      <c r="H279" s="100"/>
      <c r="I279" s="100"/>
      <c r="L279" s="101">
        <v>1852715</v>
      </c>
      <c r="M279" s="102">
        <v>1.7315000000000001E-2</v>
      </c>
      <c r="N279" s="103">
        <f t="shared" si="4"/>
        <v>32079.760225000002</v>
      </c>
      <c r="O279" s="101">
        <v>313109</v>
      </c>
      <c r="P279" s="104">
        <v>7.7000000000000002E-3</v>
      </c>
      <c r="Q279" s="104">
        <v>4.07E-2</v>
      </c>
      <c r="R279" s="97">
        <v>0</v>
      </c>
      <c r="S279" s="101">
        <v>0</v>
      </c>
      <c r="T279" s="101">
        <v>0</v>
      </c>
      <c r="U279" s="101">
        <v>2</v>
      </c>
      <c r="V279" s="101">
        <v>4967969</v>
      </c>
      <c r="W279" s="104">
        <v>0.91800000000000004</v>
      </c>
      <c r="X279" s="101">
        <v>1700792</v>
      </c>
    </row>
    <row r="280" spans="1:24" ht="14">
      <c r="A280" s="93" t="s">
        <v>507</v>
      </c>
      <c r="B280" s="93">
        <v>279583114</v>
      </c>
      <c r="C280" s="94">
        <v>2</v>
      </c>
      <c r="D280" s="95" t="s">
        <v>125</v>
      </c>
      <c r="E280" s="96" t="s">
        <v>253</v>
      </c>
      <c r="F280" s="97">
        <v>13651452006</v>
      </c>
      <c r="G280" s="105"/>
      <c r="H280" s="100"/>
      <c r="I280" s="100"/>
      <c r="L280" s="101">
        <v>2247103</v>
      </c>
      <c r="M280" s="102">
        <v>2.1080000000000001E-3</v>
      </c>
      <c r="N280" s="103">
        <f t="shared" si="4"/>
        <v>4736.8931240000002</v>
      </c>
      <c r="O280" s="101">
        <v>68761</v>
      </c>
      <c r="P280" s="104">
        <v>3.0000000000000001E-3</v>
      </c>
      <c r="Q280" s="104">
        <v>9.7000000000000003E-2</v>
      </c>
      <c r="R280" s="97">
        <v>0</v>
      </c>
      <c r="S280" s="101">
        <v>0</v>
      </c>
      <c r="T280" s="101">
        <v>0</v>
      </c>
      <c r="U280" s="101">
        <v>0</v>
      </c>
      <c r="V280" s="101">
        <v>0</v>
      </c>
      <c r="W280" s="104">
        <v>0.91</v>
      </c>
      <c r="X280" s="101">
        <v>2044864</v>
      </c>
    </row>
    <row r="281" spans="1:24" ht="14">
      <c r="A281" s="93" t="s">
        <v>508</v>
      </c>
      <c r="B281" s="93">
        <v>672328094</v>
      </c>
      <c r="C281" s="94">
        <v>2</v>
      </c>
      <c r="D281" s="95" t="s">
        <v>122</v>
      </c>
      <c r="E281" s="96" t="s">
        <v>422</v>
      </c>
      <c r="F281" s="97">
        <v>15811219954</v>
      </c>
      <c r="G281" s="105" t="s">
        <v>22</v>
      </c>
      <c r="H281" s="100"/>
      <c r="I281" s="100"/>
      <c r="L281" s="101">
        <v>1717267</v>
      </c>
      <c r="M281" s="102">
        <v>1.0213E-2</v>
      </c>
      <c r="N281" s="103">
        <f t="shared" si="4"/>
        <v>17538.447871</v>
      </c>
      <c r="O281" s="101">
        <v>292622</v>
      </c>
      <c r="P281" s="104">
        <v>0.1782</v>
      </c>
      <c r="Q281" s="104">
        <v>2.12E-2</v>
      </c>
      <c r="R281" s="97">
        <v>62</v>
      </c>
      <c r="S281" s="101">
        <v>40322</v>
      </c>
      <c r="T281" s="101">
        <v>39467</v>
      </c>
      <c r="U281" s="101">
        <v>141</v>
      </c>
      <c r="V281" s="101">
        <v>37030</v>
      </c>
      <c r="W281" s="104">
        <v>0.90100000000000002</v>
      </c>
      <c r="X281" s="101">
        <v>1547258</v>
      </c>
    </row>
    <row r="282" spans="1:24" ht="14">
      <c r="A282" s="93" t="s">
        <v>509</v>
      </c>
      <c r="B282" s="93">
        <v>436473455</v>
      </c>
      <c r="C282" s="94">
        <v>2</v>
      </c>
      <c r="D282" s="95" t="s">
        <v>125</v>
      </c>
      <c r="E282" s="96" t="s">
        <v>372</v>
      </c>
      <c r="F282" s="97">
        <v>18680906556</v>
      </c>
      <c r="G282" s="105"/>
      <c r="H282" s="100"/>
      <c r="I282" s="100"/>
      <c r="L282" s="101">
        <v>2814473</v>
      </c>
      <c r="M282" s="102">
        <v>1.54E-4</v>
      </c>
      <c r="N282" s="103">
        <f t="shared" si="4"/>
        <v>433.42884200000003</v>
      </c>
      <c r="O282" s="101">
        <v>52631</v>
      </c>
      <c r="P282" s="104">
        <v>0.62819999999999998</v>
      </c>
      <c r="Q282" s="104">
        <v>3.5700000000000003E-2</v>
      </c>
      <c r="R282" s="97">
        <v>2</v>
      </c>
      <c r="S282" s="101">
        <v>526026</v>
      </c>
      <c r="T282" s="101">
        <v>507247</v>
      </c>
      <c r="U282" s="101">
        <v>3</v>
      </c>
      <c r="V282" s="101">
        <v>778705</v>
      </c>
      <c r="W282" s="104">
        <v>0.92500000000000004</v>
      </c>
      <c r="X282" s="101">
        <v>2603388</v>
      </c>
    </row>
    <row r="283" spans="1:24" ht="14">
      <c r="A283" s="93" t="s">
        <v>510</v>
      </c>
      <c r="B283" s="93">
        <v>265059948</v>
      </c>
      <c r="C283" s="94">
        <v>2</v>
      </c>
      <c r="D283" s="95" t="s">
        <v>125</v>
      </c>
      <c r="E283" s="96" t="s">
        <v>130</v>
      </c>
      <c r="F283" s="97">
        <v>17336190313</v>
      </c>
      <c r="G283" s="105"/>
      <c r="H283" s="100"/>
      <c r="I283" s="100"/>
      <c r="L283" s="101">
        <v>2674911</v>
      </c>
      <c r="M283" s="102">
        <v>9.87E-5</v>
      </c>
      <c r="N283" s="103">
        <f t="shared" si="4"/>
        <v>264.01371569999998</v>
      </c>
      <c r="O283" s="101">
        <v>13375</v>
      </c>
      <c r="P283" s="104">
        <v>0.33110000000000001</v>
      </c>
      <c r="Q283" s="104">
        <v>1.49E-2</v>
      </c>
      <c r="R283" s="97">
        <v>1</v>
      </c>
      <c r="S283" s="101">
        <v>488263</v>
      </c>
      <c r="T283" s="101">
        <v>480988</v>
      </c>
      <c r="U283" s="101">
        <v>15</v>
      </c>
      <c r="V283" s="101">
        <v>513535</v>
      </c>
      <c r="W283" s="104">
        <v>0.91</v>
      </c>
      <c r="X283" s="101">
        <v>2434169</v>
      </c>
    </row>
    <row r="284" spans="1:24" ht="14">
      <c r="A284" s="93" t="s">
        <v>511</v>
      </c>
      <c r="B284" s="93">
        <v>391679</v>
      </c>
      <c r="C284" s="94">
        <v>2</v>
      </c>
      <c r="D284" s="95" t="s">
        <v>125</v>
      </c>
      <c r="E284" s="96" t="s">
        <v>253</v>
      </c>
      <c r="F284" s="97">
        <v>13774411158</v>
      </c>
      <c r="G284" s="105"/>
      <c r="H284" s="100"/>
      <c r="I284" s="100"/>
      <c r="L284" s="101">
        <v>2519443</v>
      </c>
      <c r="M284" s="102">
        <v>1.34E-4</v>
      </c>
      <c r="N284" s="103">
        <f t="shared" si="4"/>
        <v>337.60536200000001</v>
      </c>
      <c r="O284" s="101">
        <v>8062</v>
      </c>
      <c r="P284" s="104">
        <v>4.9599999999999998E-2</v>
      </c>
      <c r="Q284" s="104">
        <v>2.2700000000000001E-2</v>
      </c>
      <c r="R284" s="97">
        <v>1</v>
      </c>
      <c r="S284" s="101">
        <v>392996</v>
      </c>
      <c r="T284" s="101">
        <v>384075</v>
      </c>
      <c r="U284" s="101">
        <v>1</v>
      </c>
      <c r="V284" s="101">
        <v>746282</v>
      </c>
      <c r="W284" s="104">
        <v>0.93200000000000005</v>
      </c>
      <c r="X284" s="101">
        <v>2348121</v>
      </c>
    </row>
    <row r="285" spans="1:24" ht="14">
      <c r="A285" s="93" t="s">
        <v>512</v>
      </c>
      <c r="B285" s="93">
        <v>396806711</v>
      </c>
      <c r="C285" s="94">
        <v>2</v>
      </c>
      <c r="D285" s="95" t="s">
        <v>125</v>
      </c>
      <c r="E285" s="96" t="s">
        <v>253</v>
      </c>
      <c r="F285" s="97">
        <v>13534069017</v>
      </c>
      <c r="G285" s="105"/>
      <c r="H285" s="100"/>
      <c r="I285" s="100"/>
      <c r="L285" s="101">
        <v>2137063</v>
      </c>
      <c r="M285" s="102">
        <v>1.189E-3</v>
      </c>
      <c r="N285" s="103">
        <f t="shared" si="4"/>
        <v>2540.9679069999997</v>
      </c>
      <c r="O285" s="101">
        <v>60906</v>
      </c>
      <c r="P285" s="104">
        <v>0.19409999999999999</v>
      </c>
      <c r="Q285" s="104">
        <v>0.21640000000000001</v>
      </c>
      <c r="R285" s="97">
        <v>9</v>
      </c>
      <c r="S285" s="101">
        <v>168757</v>
      </c>
      <c r="T285" s="101">
        <v>132238</v>
      </c>
      <c r="U285" s="101">
        <v>20</v>
      </c>
      <c r="V285" s="101">
        <v>244029</v>
      </c>
      <c r="W285" s="104">
        <v>0.89600000000000002</v>
      </c>
      <c r="X285" s="101">
        <v>1914808</v>
      </c>
    </row>
    <row r="286" spans="1:24" ht="14">
      <c r="A286" s="93" t="s">
        <v>513</v>
      </c>
      <c r="B286" s="93">
        <v>5055</v>
      </c>
      <c r="C286" s="94">
        <v>2</v>
      </c>
      <c r="D286" s="95" t="s">
        <v>125</v>
      </c>
      <c r="E286" s="96" t="s">
        <v>253</v>
      </c>
      <c r="F286" s="97">
        <v>13020134731</v>
      </c>
      <c r="G286" s="105"/>
      <c r="H286" s="100"/>
      <c r="I286" s="100"/>
      <c r="L286" s="101">
        <v>1462331</v>
      </c>
      <c r="M286" s="102">
        <v>7.6039999999999996E-3</v>
      </c>
      <c r="N286" s="103">
        <f t="shared" si="4"/>
        <v>11119.564924</v>
      </c>
      <c r="O286" s="101">
        <v>260441</v>
      </c>
      <c r="P286" s="104">
        <v>0.13370000000000001</v>
      </c>
      <c r="Q286" s="104">
        <v>2.1399999999999999E-2</v>
      </c>
      <c r="R286" s="97">
        <v>36</v>
      </c>
      <c r="S286" s="101">
        <v>57152</v>
      </c>
      <c r="T286" s="101">
        <v>55929</v>
      </c>
      <c r="U286" s="101">
        <v>54</v>
      </c>
      <c r="V286" s="101">
        <v>82050</v>
      </c>
      <c r="W286" s="104">
        <v>0.94299999999999995</v>
      </c>
      <c r="X286" s="101">
        <v>1378978</v>
      </c>
    </row>
    <row r="287" spans="1:24" ht="14">
      <c r="A287" s="93" t="s">
        <v>514</v>
      </c>
      <c r="B287" s="93">
        <v>2728123</v>
      </c>
      <c r="C287" s="94">
        <v>2</v>
      </c>
      <c r="D287" s="95" t="s">
        <v>125</v>
      </c>
      <c r="E287" s="96" t="s">
        <v>147</v>
      </c>
      <c r="F287" s="97">
        <v>15842635573</v>
      </c>
      <c r="G287" s="105"/>
      <c r="H287" s="100"/>
      <c r="I287" s="100"/>
      <c r="L287" s="101">
        <v>1456733</v>
      </c>
      <c r="M287" s="102">
        <v>1.5459000000000001E-2</v>
      </c>
      <c r="N287" s="103">
        <f t="shared" si="4"/>
        <v>22519.635447000001</v>
      </c>
      <c r="O287" s="101">
        <v>224337</v>
      </c>
      <c r="P287" s="104">
        <v>8.5400000000000004E-2</v>
      </c>
      <c r="Q287" s="104">
        <v>9.0899999999999995E-2</v>
      </c>
      <c r="R287" s="97">
        <v>59</v>
      </c>
      <c r="S287" s="101">
        <v>52092</v>
      </c>
      <c r="T287" s="101">
        <v>47356</v>
      </c>
      <c r="U287" s="101">
        <v>114</v>
      </c>
      <c r="V287" s="101">
        <v>57822</v>
      </c>
      <c r="W287" s="104">
        <v>0.92500000000000004</v>
      </c>
      <c r="X287" s="101">
        <v>1347478</v>
      </c>
    </row>
    <row r="288" spans="1:24" ht="14">
      <c r="A288" s="93" t="s">
        <v>515</v>
      </c>
      <c r="B288" s="93">
        <v>1646036311</v>
      </c>
      <c r="C288" s="94">
        <v>1</v>
      </c>
      <c r="D288" s="95" t="s">
        <v>125</v>
      </c>
      <c r="E288" s="96" t="s">
        <v>372</v>
      </c>
      <c r="F288" s="97">
        <v>17810600391</v>
      </c>
      <c r="G288" s="105"/>
      <c r="H288" s="100"/>
      <c r="I288" s="100"/>
      <c r="L288" s="101">
        <v>2879098</v>
      </c>
      <c r="M288" s="102">
        <v>2.3180000000000002E-3</v>
      </c>
      <c r="N288" s="103">
        <f t="shared" si="4"/>
        <v>6673.7491640000007</v>
      </c>
      <c r="O288" s="101">
        <v>34837</v>
      </c>
      <c r="P288" s="104">
        <v>7.4000000000000003E-3</v>
      </c>
      <c r="Q288" s="104">
        <v>5.3999999999999999E-2</v>
      </c>
      <c r="R288" s="97">
        <v>0</v>
      </c>
      <c r="S288" s="101">
        <v>0</v>
      </c>
      <c r="T288" s="101">
        <v>0</v>
      </c>
      <c r="U288" s="101">
        <v>0</v>
      </c>
      <c r="V288" s="101">
        <v>0</v>
      </c>
      <c r="W288" s="104">
        <v>0.92100000000000004</v>
      </c>
      <c r="X288" s="101">
        <v>2651649</v>
      </c>
    </row>
    <row r="289" spans="1:24" ht="14">
      <c r="A289" s="93" t="s">
        <v>516</v>
      </c>
      <c r="B289" s="93">
        <v>196356191</v>
      </c>
      <c r="C289" s="94">
        <v>1</v>
      </c>
      <c r="D289" s="95" t="s">
        <v>125</v>
      </c>
      <c r="E289" s="96" t="s">
        <v>364</v>
      </c>
      <c r="F289" s="97">
        <v>17685117112</v>
      </c>
      <c r="G289" s="105"/>
      <c r="H289" s="100"/>
      <c r="I289" s="100"/>
      <c r="L289" s="101">
        <v>4013981</v>
      </c>
      <c r="M289" s="102">
        <v>9.1600000000000004E-4</v>
      </c>
      <c r="N289" s="103">
        <f t="shared" si="4"/>
        <v>3676.8065960000004</v>
      </c>
      <c r="O289" s="101">
        <v>36527</v>
      </c>
      <c r="P289" s="104">
        <v>3.0300000000000001E-2</v>
      </c>
      <c r="Q289" s="104">
        <v>0.17630000000000001</v>
      </c>
      <c r="R289" s="97">
        <v>0</v>
      </c>
      <c r="S289" s="101">
        <v>0</v>
      </c>
      <c r="T289" s="101">
        <v>0</v>
      </c>
      <c r="U289" s="101">
        <v>5</v>
      </c>
      <c r="V289" s="101">
        <v>1372439</v>
      </c>
      <c r="W289" s="104">
        <v>0.92100000000000004</v>
      </c>
      <c r="X289" s="101">
        <v>3696877</v>
      </c>
    </row>
    <row r="290" spans="1:24" ht="14">
      <c r="A290" s="93" t="s">
        <v>517</v>
      </c>
      <c r="B290" s="93">
        <v>1531707</v>
      </c>
      <c r="C290" s="94">
        <v>1</v>
      </c>
      <c r="D290" s="95" t="s">
        <v>125</v>
      </c>
      <c r="E290" s="96" t="s">
        <v>210</v>
      </c>
      <c r="F290" s="97">
        <v>15222328970</v>
      </c>
      <c r="G290" s="105"/>
      <c r="H290" s="100"/>
      <c r="I290" s="100"/>
      <c r="L290" s="101">
        <v>2925208</v>
      </c>
      <c r="M290" s="102">
        <v>1.3320000000000001E-3</v>
      </c>
      <c r="N290" s="103">
        <f t="shared" si="4"/>
        <v>3896.3770560000003</v>
      </c>
      <c r="O290" s="101">
        <v>40660</v>
      </c>
      <c r="P290" s="104">
        <v>4.2200000000000001E-2</v>
      </c>
      <c r="Q290" s="104">
        <v>8.2400000000000001E-2</v>
      </c>
      <c r="R290" s="97">
        <v>0</v>
      </c>
      <c r="S290" s="101">
        <v>0</v>
      </c>
      <c r="T290" s="101">
        <v>0</v>
      </c>
      <c r="U290" s="101">
        <v>1</v>
      </c>
      <c r="V290" s="101">
        <v>5676243</v>
      </c>
      <c r="W290" s="104">
        <v>0.91900000000000004</v>
      </c>
      <c r="X290" s="101">
        <v>2688266</v>
      </c>
    </row>
    <row r="291" spans="1:24" ht="14">
      <c r="A291" s="93" t="s">
        <v>518</v>
      </c>
      <c r="B291" s="93">
        <v>170948267</v>
      </c>
      <c r="C291" s="94">
        <v>1</v>
      </c>
      <c r="D291" s="95" t="s">
        <v>125</v>
      </c>
      <c r="E291" s="96" t="s">
        <v>130</v>
      </c>
      <c r="F291" s="97">
        <v>15810595046</v>
      </c>
      <c r="G291" s="105"/>
      <c r="H291" s="100"/>
      <c r="I291" s="100"/>
      <c r="L291" s="101">
        <v>3434771</v>
      </c>
      <c r="M291" s="102">
        <v>1.088E-3</v>
      </c>
      <c r="N291" s="103">
        <f t="shared" si="4"/>
        <v>3737.0308479999999</v>
      </c>
      <c r="O291" s="101">
        <v>50491</v>
      </c>
      <c r="P291" s="104">
        <v>3.8E-3</v>
      </c>
      <c r="Q291" s="104">
        <v>2.4400000000000002E-2</v>
      </c>
      <c r="R291" s="97">
        <v>0</v>
      </c>
      <c r="S291" s="101">
        <v>0</v>
      </c>
      <c r="T291" s="101">
        <v>0</v>
      </c>
      <c r="U291" s="101">
        <v>0</v>
      </c>
      <c r="V291" s="101">
        <v>0</v>
      </c>
      <c r="W291" s="104">
        <v>0.91800000000000004</v>
      </c>
      <c r="X291" s="101">
        <v>3153120</v>
      </c>
    </row>
    <row r="292" spans="1:24" ht="14">
      <c r="A292" s="93" t="s">
        <v>519</v>
      </c>
      <c r="B292" s="93">
        <v>9550310</v>
      </c>
      <c r="C292" s="94">
        <v>1</v>
      </c>
      <c r="D292" s="95" t="s">
        <v>125</v>
      </c>
      <c r="E292" s="96" t="s">
        <v>471</v>
      </c>
      <c r="F292" s="97">
        <v>18773577017</v>
      </c>
      <c r="G292" s="105"/>
      <c r="H292" s="100"/>
      <c r="I292" s="100"/>
      <c r="L292" s="101">
        <v>1559741</v>
      </c>
      <c r="M292" s="102">
        <v>1.544E-3</v>
      </c>
      <c r="N292" s="103">
        <f t="shared" si="4"/>
        <v>2408.240104</v>
      </c>
      <c r="O292" s="101">
        <v>35718</v>
      </c>
      <c r="P292" s="104">
        <v>0.1009</v>
      </c>
      <c r="Q292" s="104">
        <v>1.7999999999999999E-2</v>
      </c>
      <c r="R292" s="97">
        <v>2</v>
      </c>
      <c r="S292" s="101">
        <v>547426</v>
      </c>
      <c r="T292" s="101">
        <v>537572</v>
      </c>
      <c r="U292" s="101">
        <v>8</v>
      </c>
      <c r="V292" s="101">
        <v>452052</v>
      </c>
      <c r="W292" s="104">
        <v>0.92900000000000005</v>
      </c>
      <c r="X292" s="101">
        <v>1448999</v>
      </c>
    </row>
    <row r="293" spans="1:24" ht="14">
      <c r="A293" s="93" t="s">
        <v>520</v>
      </c>
      <c r="B293" s="93">
        <v>22344481</v>
      </c>
      <c r="C293" s="94">
        <v>1</v>
      </c>
      <c r="D293" s="95" t="s">
        <v>125</v>
      </c>
      <c r="E293" s="97">
        <v>0</v>
      </c>
      <c r="F293" s="97">
        <v>15802850197</v>
      </c>
      <c r="G293" s="105"/>
      <c r="H293" s="100"/>
      <c r="I293" s="100"/>
      <c r="L293" s="101">
        <v>1227304</v>
      </c>
      <c r="M293" s="102">
        <v>8.3000000000000001E-4</v>
      </c>
      <c r="N293" s="103">
        <f t="shared" si="4"/>
        <v>1018.66232</v>
      </c>
      <c r="O293" s="101">
        <v>22214</v>
      </c>
      <c r="P293" s="104">
        <v>0.27110000000000001</v>
      </c>
      <c r="Q293" s="104">
        <v>5.4100000000000002E-2</v>
      </c>
      <c r="R293" s="97">
        <v>4</v>
      </c>
      <c r="S293" s="101">
        <v>71082</v>
      </c>
      <c r="T293" s="101">
        <v>67236</v>
      </c>
      <c r="U293" s="101">
        <v>6</v>
      </c>
      <c r="V293" s="101">
        <v>83966</v>
      </c>
      <c r="W293" s="104">
        <v>0.92600000000000005</v>
      </c>
      <c r="X293" s="101">
        <v>1136484</v>
      </c>
    </row>
    <row r="294" spans="1:24" ht="14">
      <c r="A294" s="93" t="s">
        <v>521</v>
      </c>
      <c r="B294" s="93">
        <v>10345615</v>
      </c>
      <c r="C294" s="94">
        <v>1</v>
      </c>
      <c r="D294" s="95" t="s">
        <v>125</v>
      </c>
      <c r="E294" s="96" t="s">
        <v>339</v>
      </c>
      <c r="F294" s="97">
        <v>15957495637</v>
      </c>
      <c r="G294" s="105"/>
      <c r="H294" s="100"/>
      <c r="I294" s="100"/>
      <c r="L294" s="101">
        <v>1604387</v>
      </c>
      <c r="M294" s="102">
        <v>1.6200000000000001E-4</v>
      </c>
      <c r="N294" s="103">
        <f t="shared" si="4"/>
        <v>259.91069400000003</v>
      </c>
      <c r="O294" s="101">
        <v>8503</v>
      </c>
      <c r="P294" s="104">
        <v>1.09E-2</v>
      </c>
      <c r="Q294" s="104">
        <v>2.2200000000000001E-2</v>
      </c>
      <c r="R294" s="97">
        <v>1</v>
      </c>
      <c r="S294" s="101">
        <v>552543</v>
      </c>
      <c r="T294" s="101">
        <v>540277</v>
      </c>
      <c r="U294" s="101">
        <v>1</v>
      </c>
      <c r="V294" s="101">
        <v>941890</v>
      </c>
      <c r="W294" s="104">
        <v>0.92200000000000004</v>
      </c>
      <c r="X294" s="101">
        <v>1479245</v>
      </c>
    </row>
    <row r="295" spans="1:24" ht="14">
      <c r="A295" s="93" t="s">
        <v>522</v>
      </c>
      <c r="B295" s="93">
        <v>7212583</v>
      </c>
      <c r="C295" s="94">
        <v>1</v>
      </c>
      <c r="D295" s="95" t="s">
        <v>122</v>
      </c>
      <c r="E295" s="96" t="s">
        <v>339</v>
      </c>
      <c r="F295" s="97">
        <v>18663201662</v>
      </c>
      <c r="G295" s="105" t="s">
        <v>137</v>
      </c>
      <c r="H295" s="100"/>
      <c r="I295" s="100"/>
      <c r="L295" s="101">
        <v>1577854</v>
      </c>
      <c r="M295" s="102">
        <v>1.5740000000000001E-3</v>
      </c>
      <c r="N295" s="103">
        <f t="shared" si="4"/>
        <v>2483.5421960000003</v>
      </c>
      <c r="O295" s="101">
        <v>46231</v>
      </c>
      <c r="P295" s="104">
        <v>6.0400000000000002E-2</v>
      </c>
      <c r="Q295" s="104">
        <v>0.61780000000000002</v>
      </c>
      <c r="R295" s="97">
        <v>3</v>
      </c>
      <c r="S295" s="101">
        <v>1464565</v>
      </c>
      <c r="T295" s="101">
        <v>559757</v>
      </c>
      <c r="U295" s="101">
        <v>7</v>
      </c>
      <c r="V295" s="101">
        <v>1061593</v>
      </c>
      <c r="W295" s="104">
        <v>0.91500000000000004</v>
      </c>
      <c r="X295" s="101">
        <v>1443736</v>
      </c>
    </row>
    <row r="296" spans="1:24" ht="14">
      <c r="A296" s="93" t="s">
        <v>523</v>
      </c>
      <c r="B296" s="93">
        <v>12855005</v>
      </c>
      <c r="C296" s="94">
        <v>1</v>
      </c>
      <c r="D296" s="95" t="s">
        <v>125</v>
      </c>
      <c r="E296" s="96" t="s">
        <v>384</v>
      </c>
      <c r="F296" s="97">
        <v>18612802515</v>
      </c>
      <c r="G296" s="105"/>
      <c r="H296" s="100"/>
      <c r="I296" s="100"/>
      <c r="L296" s="101">
        <v>1502036</v>
      </c>
      <c r="M296" s="102">
        <v>1.8799999999999999E-4</v>
      </c>
      <c r="N296" s="103">
        <f t="shared" si="4"/>
        <v>282.382768</v>
      </c>
      <c r="O296" s="101">
        <v>5107</v>
      </c>
      <c r="P296" s="104">
        <v>0.50480000000000003</v>
      </c>
      <c r="Q296" s="104">
        <v>0.184</v>
      </c>
      <c r="R296" s="97">
        <v>3</v>
      </c>
      <c r="S296" s="101">
        <v>459606</v>
      </c>
      <c r="T296" s="101">
        <v>375038</v>
      </c>
      <c r="U296" s="101">
        <v>6</v>
      </c>
      <c r="V296" s="101">
        <v>328383</v>
      </c>
      <c r="W296" s="104">
        <v>0.90500000000000003</v>
      </c>
      <c r="X296" s="101">
        <v>1359343</v>
      </c>
    </row>
    <row r="297" spans="1:24" ht="14">
      <c r="A297" s="93" t="s">
        <v>524</v>
      </c>
      <c r="B297" s="93">
        <v>1918296</v>
      </c>
      <c r="C297" s="94">
        <v>1</v>
      </c>
      <c r="D297" s="95" t="s">
        <v>125</v>
      </c>
      <c r="E297" s="96" t="s">
        <v>245</v>
      </c>
      <c r="F297" s="97">
        <v>15823193909</v>
      </c>
      <c r="G297" s="105"/>
      <c r="H297" s="100"/>
      <c r="I297" s="100"/>
      <c r="L297" s="101">
        <v>1335587</v>
      </c>
      <c r="M297" s="102">
        <v>1.26E-4</v>
      </c>
      <c r="N297" s="103">
        <f t="shared" si="4"/>
        <v>168.283962</v>
      </c>
      <c r="O297" s="101">
        <v>3072</v>
      </c>
      <c r="P297" s="104">
        <v>6.1000000000000004E-3</v>
      </c>
      <c r="Q297" s="104">
        <v>0.16120000000000001</v>
      </c>
      <c r="R297" s="97">
        <v>1</v>
      </c>
      <c r="S297" s="101">
        <v>181558</v>
      </c>
      <c r="T297" s="101">
        <v>152291</v>
      </c>
      <c r="U297" s="101">
        <v>1</v>
      </c>
      <c r="V297" s="101">
        <v>348532</v>
      </c>
      <c r="W297" s="104">
        <v>0.90500000000000003</v>
      </c>
      <c r="X297" s="101">
        <v>1208706</v>
      </c>
    </row>
    <row r="298" spans="1:24" ht="14">
      <c r="A298" s="93" t="s">
        <v>525</v>
      </c>
      <c r="B298" s="93">
        <v>24314825</v>
      </c>
      <c r="C298" s="94">
        <v>1</v>
      </c>
      <c r="D298" s="95" t="s">
        <v>125</v>
      </c>
      <c r="E298" s="96" t="s">
        <v>245</v>
      </c>
      <c r="F298" s="97">
        <v>19374178878</v>
      </c>
      <c r="G298" s="105"/>
      <c r="H298" s="100"/>
      <c r="I298" s="100"/>
      <c r="L298" s="101">
        <v>1091402</v>
      </c>
      <c r="M298" s="102">
        <v>9.7100000000000002E-5</v>
      </c>
      <c r="N298" s="103">
        <f t="shared" si="4"/>
        <v>105.9751342</v>
      </c>
      <c r="O298" s="101">
        <v>9277</v>
      </c>
      <c r="P298" s="104">
        <v>9.4999999999999998E-3</v>
      </c>
      <c r="Q298" s="104">
        <v>4.7600000000000003E-2</v>
      </c>
      <c r="R298" s="97">
        <v>2</v>
      </c>
      <c r="S298" s="101">
        <v>117864</v>
      </c>
      <c r="T298" s="101">
        <v>112254</v>
      </c>
      <c r="U298" s="101">
        <v>3</v>
      </c>
      <c r="V298" s="101">
        <v>151108</v>
      </c>
      <c r="W298" s="104">
        <v>0.90100000000000002</v>
      </c>
      <c r="X298" s="101">
        <v>983353</v>
      </c>
    </row>
    <row r="299" spans="1:24" ht="14">
      <c r="A299" s="93" t="s">
        <v>526</v>
      </c>
      <c r="B299" s="93">
        <v>284424</v>
      </c>
      <c r="C299" s="94">
        <v>1</v>
      </c>
      <c r="D299" s="95" t="s">
        <v>122</v>
      </c>
      <c r="E299" s="96" t="s">
        <v>527</v>
      </c>
      <c r="F299" s="97">
        <v>15610625035</v>
      </c>
      <c r="G299" s="105" t="s">
        <v>26</v>
      </c>
      <c r="H299" s="99" t="s">
        <v>155</v>
      </c>
      <c r="I299" s="100" t="s">
        <v>257</v>
      </c>
      <c r="J299" t="s">
        <v>504</v>
      </c>
      <c r="L299" s="101">
        <v>1574870</v>
      </c>
      <c r="M299" s="102">
        <v>3.6200000000000002E-4</v>
      </c>
      <c r="N299" s="103">
        <f t="shared" si="4"/>
        <v>570.10293999999999</v>
      </c>
      <c r="O299" s="101">
        <v>41104</v>
      </c>
      <c r="P299" s="104">
        <v>6.1699999999999998E-2</v>
      </c>
      <c r="Q299" s="104">
        <v>0.68910000000000005</v>
      </c>
      <c r="R299" s="97">
        <v>2</v>
      </c>
      <c r="S299" s="101">
        <v>1454242</v>
      </c>
      <c r="T299" s="101">
        <v>452124</v>
      </c>
      <c r="U299" s="101">
        <v>5</v>
      </c>
      <c r="V299" s="101">
        <v>960419</v>
      </c>
      <c r="W299" s="104">
        <v>0.89700000000000002</v>
      </c>
      <c r="X299" s="101">
        <v>1412658</v>
      </c>
    </row>
    <row r="300" spans="1:24" ht="14">
      <c r="A300" s="109" t="s">
        <v>528</v>
      </c>
      <c r="B300" s="109">
        <v>176037767</v>
      </c>
      <c r="C300" s="94">
        <v>1</v>
      </c>
      <c r="D300" s="110" t="s">
        <v>122</v>
      </c>
      <c r="E300" s="96" t="s">
        <v>233</v>
      </c>
      <c r="F300" s="97">
        <v>9173367288</v>
      </c>
      <c r="G300" s="105" t="s">
        <v>22</v>
      </c>
      <c r="H300" s="100"/>
      <c r="I300" s="100"/>
      <c r="L300" s="101">
        <v>6257146</v>
      </c>
      <c r="M300" s="102">
        <v>4.9200000000000003E-4</v>
      </c>
      <c r="N300" s="103">
        <f t="shared" si="4"/>
        <v>3078.515832</v>
      </c>
      <c r="O300" s="101">
        <v>37543</v>
      </c>
      <c r="P300" s="104">
        <v>6.4000000000000003E-3</v>
      </c>
      <c r="Q300" s="104">
        <v>3.78E-2</v>
      </c>
      <c r="R300" s="97">
        <v>0</v>
      </c>
      <c r="S300" s="101">
        <v>0</v>
      </c>
      <c r="T300" s="101">
        <v>0</v>
      </c>
      <c r="U300" s="101">
        <v>0</v>
      </c>
      <c r="V300" s="101">
        <v>0</v>
      </c>
      <c r="W300" s="104">
        <v>0.92400000000000004</v>
      </c>
      <c r="X300" s="101">
        <v>5781603</v>
      </c>
    </row>
    <row r="301" spans="1:24" ht="14">
      <c r="A301" s="109" t="s">
        <v>529</v>
      </c>
      <c r="B301" s="109">
        <v>29329085</v>
      </c>
      <c r="C301" s="94">
        <v>1</v>
      </c>
      <c r="D301" s="110" t="s">
        <v>125</v>
      </c>
      <c r="E301" s="96" t="s">
        <v>128</v>
      </c>
      <c r="F301" s="97">
        <v>18371525885</v>
      </c>
      <c r="G301" s="105"/>
      <c r="H301" s="100"/>
      <c r="I301" s="100"/>
      <c r="L301" s="101">
        <v>4604038</v>
      </c>
      <c r="M301" s="102">
        <v>2.7900000000000001E-4</v>
      </c>
      <c r="N301" s="103">
        <f t="shared" si="4"/>
        <v>1284.5266019999999</v>
      </c>
      <c r="O301" s="101">
        <v>15193</v>
      </c>
      <c r="P301" s="104">
        <v>3.7000000000000002E-3</v>
      </c>
      <c r="Q301" s="104">
        <v>0.1013</v>
      </c>
      <c r="R301" s="97">
        <v>0</v>
      </c>
      <c r="S301" s="101">
        <v>0</v>
      </c>
      <c r="T301" s="101">
        <v>0</v>
      </c>
      <c r="U301" s="101">
        <v>0</v>
      </c>
      <c r="V301" s="101">
        <v>0</v>
      </c>
      <c r="W301" s="104">
        <v>0.92200000000000004</v>
      </c>
      <c r="X301" s="101">
        <v>4244923</v>
      </c>
    </row>
    <row r="302" spans="1:24" ht="14">
      <c r="A302" s="109" t="s">
        <v>530</v>
      </c>
      <c r="B302" s="109">
        <v>2200736</v>
      </c>
      <c r="C302" s="94">
        <v>1</v>
      </c>
      <c r="D302" s="110" t="s">
        <v>125</v>
      </c>
      <c r="E302" s="96" t="s">
        <v>272</v>
      </c>
      <c r="F302" s="97">
        <v>15900847751</v>
      </c>
      <c r="G302" s="105"/>
      <c r="H302" s="100"/>
      <c r="I302" s="100"/>
      <c r="L302" s="101">
        <v>5128324</v>
      </c>
      <c r="M302" s="102">
        <v>1.84E-4</v>
      </c>
      <c r="N302" s="103">
        <f t="shared" si="4"/>
        <v>943.61161600000003</v>
      </c>
      <c r="O302" s="101">
        <v>24616</v>
      </c>
      <c r="P302" s="104">
        <v>9.7000000000000003E-3</v>
      </c>
      <c r="Q302" s="104">
        <v>8.8499999999999995E-2</v>
      </c>
      <c r="R302" s="97">
        <v>0</v>
      </c>
      <c r="S302" s="101">
        <v>0</v>
      </c>
      <c r="T302" s="101">
        <v>0</v>
      </c>
      <c r="U302" s="101">
        <v>1</v>
      </c>
      <c r="V302" s="101">
        <v>1567373</v>
      </c>
      <c r="W302" s="104">
        <v>0.90400000000000003</v>
      </c>
      <c r="X302" s="101">
        <v>4636005</v>
      </c>
    </row>
    <row r="303" spans="1:24" ht="14">
      <c r="A303" s="109" t="s">
        <v>531</v>
      </c>
      <c r="B303" s="109">
        <v>17546432</v>
      </c>
      <c r="C303" s="94">
        <v>1</v>
      </c>
      <c r="D303" s="110" t="s">
        <v>122</v>
      </c>
      <c r="E303" s="96" t="s">
        <v>143</v>
      </c>
      <c r="F303" s="97">
        <v>18805722243</v>
      </c>
      <c r="G303" s="105" t="s">
        <v>137</v>
      </c>
      <c r="H303" s="100"/>
      <c r="I303" s="100"/>
      <c r="L303" s="101">
        <v>2309258</v>
      </c>
      <c r="M303" s="102">
        <v>1.304E-3</v>
      </c>
      <c r="N303" s="103">
        <f t="shared" si="4"/>
        <v>3011.2724320000002</v>
      </c>
      <c r="O303" s="101">
        <v>321449</v>
      </c>
      <c r="P303" s="104">
        <v>0.16719999999999999</v>
      </c>
      <c r="Q303" s="104">
        <v>2.4E-2</v>
      </c>
      <c r="R303" s="97">
        <v>31</v>
      </c>
      <c r="S303" s="101">
        <v>46308</v>
      </c>
      <c r="T303" s="101">
        <v>45197</v>
      </c>
      <c r="U303" s="101">
        <v>33</v>
      </c>
      <c r="V303" s="101">
        <v>68718</v>
      </c>
      <c r="W303" s="104">
        <v>0.93300000000000005</v>
      </c>
      <c r="X303" s="101">
        <v>2154538</v>
      </c>
    </row>
    <row r="304" spans="1:24" ht="14">
      <c r="A304" s="109" t="s">
        <v>532</v>
      </c>
      <c r="B304" s="109">
        <v>37946996</v>
      </c>
      <c r="C304" s="94">
        <v>1</v>
      </c>
      <c r="D304" s="110" t="s">
        <v>125</v>
      </c>
      <c r="E304" s="96" t="s">
        <v>147</v>
      </c>
      <c r="F304" s="97">
        <v>18384222822</v>
      </c>
      <c r="G304" s="105"/>
      <c r="H304" s="100"/>
      <c r="I304" s="100"/>
      <c r="L304" s="101">
        <v>1939600</v>
      </c>
      <c r="M304" s="102">
        <v>9.6599999999999995E-4</v>
      </c>
      <c r="N304" s="103">
        <f t="shared" si="4"/>
        <v>1873.6535999999999</v>
      </c>
      <c r="O304" s="101">
        <v>162151</v>
      </c>
      <c r="P304" s="104">
        <v>0.3407</v>
      </c>
      <c r="Q304" s="104">
        <v>0.1837</v>
      </c>
      <c r="R304" s="97">
        <v>105</v>
      </c>
      <c r="S304" s="101">
        <v>9217</v>
      </c>
      <c r="T304" s="101">
        <v>7524</v>
      </c>
      <c r="U304" s="101">
        <v>228</v>
      </c>
      <c r="V304" s="101">
        <v>15038</v>
      </c>
      <c r="W304" s="104">
        <v>0.93100000000000005</v>
      </c>
      <c r="X304" s="101">
        <v>1805768</v>
      </c>
    </row>
    <row r="305" spans="1:24" ht="14">
      <c r="A305" s="109" t="s">
        <v>533</v>
      </c>
      <c r="B305" s="109">
        <v>322892</v>
      </c>
      <c r="C305" s="94">
        <v>1</v>
      </c>
      <c r="D305" s="110" t="s">
        <v>122</v>
      </c>
      <c r="E305" s="96" t="s">
        <v>147</v>
      </c>
      <c r="F305" s="97">
        <v>18516529188</v>
      </c>
      <c r="G305" s="105" t="s">
        <v>26</v>
      </c>
      <c r="H305" s="99" t="s">
        <v>214</v>
      </c>
      <c r="I305" s="100"/>
      <c r="J305" t="s">
        <v>534</v>
      </c>
      <c r="L305" s="101">
        <v>2503894</v>
      </c>
      <c r="M305" s="102">
        <v>9.0699999999999996E-5</v>
      </c>
      <c r="N305" s="103">
        <f t="shared" si="4"/>
        <v>227.10318579999998</v>
      </c>
      <c r="O305" s="101">
        <v>162753</v>
      </c>
      <c r="P305" s="104">
        <v>0.25530000000000003</v>
      </c>
      <c r="Q305" s="104">
        <v>3.6299999999999999E-2</v>
      </c>
      <c r="R305" s="97">
        <v>37</v>
      </c>
      <c r="S305" s="101">
        <v>37622</v>
      </c>
      <c r="T305" s="101">
        <v>36256</v>
      </c>
      <c r="U305" s="101">
        <v>127</v>
      </c>
      <c r="V305" s="101">
        <v>24398</v>
      </c>
      <c r="W305" s="104">
        <v>0.92200000000000004</v>
      </c>
      <c r="X305" s="101">
        <v>2308590</v>
      </c>
    </row>
    <row r="306" spans="1:24" ht="14">
      <c r="A306" s="109" t="s">
        <v>535</v>
      </c>
      <c r="B306" s="109">
        <v>25422790</v>
      </c>
      <c r="C306" s="94">
        <v>1</v>
      </c>
      <c r="D306" s="110" t="s">
        <v>125</v>
      </c>
      <c r="E306" s="96" t="s">
        <v>147</v>
      </c>
      <c r="F306" s="97">
        <v>18806291504</v>
      </c>
      <c r="G306" s="105"/>
      <c r="H306" s="100"/>
      <c r="I306" s="100"/>
      <c r="L306" s="101">
        <v>1128397</v>
      </c>
      <c r="M306" s="102">
        <v>4.9540000000000001E-3</v>
      </c>
      <c r="N306" s="103">
        <f t="shared" si="4"/>
        <v>5590.0787380000002</v>
      </c>
      <c r="O306" s="101">
        <v>43669</v>
      </c>
      <c r="P306" s="104">
        <v>3.6700000000000003E-2</v>
      </c>
      <c r="Q306" s="104">
        <v>0.1167</v>
      </c>
      <c r="R306" s="97">
        <v>58</v>
      </c>
      <c r="S306" s="101">
        <v>42994</v>
      </c>
      <c r="T306" s="101">
        <v>37977</v>
      </c>
      <c r="U306" s="101">
        <v>79</v>
      </c>
      <c r="V306" s="101">
        <v>52175</v>
      </c>
      <c r="W306" s="104">
        <v>0.91500000000000004</v>
      </c>
      <c r="X306" s="101">
        <v>1032483</v>
      </c>
    </row>
    <row r="307" spans="1:24" ht="14">
      <c r="A307" s="93" t="s">
        <v>536</v>
      </c>
      <c r="B307" s="93">
        <v>437316738</v>
      </c>
      <c r="C307" s="94">
        <v>1</v>
      </c>
      <c r="D307" s="95" t="s">
        <v>125</v>
      </c>
      <c r="E307" s="96" t="s">
        <v>126</v>
      </c>
      <c r="F307" s="97">
        <v>18653354143</v>
      </c>
      <c r="G307" s="105"/>
      <c r="H307" s="100"/>
      <c r="I307" s="100"/>
      <c r="L307" s="101">
        <v>3248506</v>
      </c>
      <c r="M307" s="102">
        <v>1.2300000000000001E-4</v>
      </c>
      <c r="N307" s="103">
        <f t="shared" si="4"/>
        <v>399.566238</v>
      </c>
      <c r="O307" s="101">
        <v>6822</v>
      </c>
      <c r="P307" s="104">
        <v>2.7799999999999998E-2</v>
      </c>
      <c r="Q307" s="104">
        <v>1.2500000000000001E-2</v>
      </c>
      <c r="R307" s="97">
        <v>0</v>
      </c>
      <c r="S307" s="101">
        <v>0</v>
      </c>
      <c r="T307" s="101">
        <v>0</v>
      </c>
      <c r="U307" s="101">
        <v>0</v>
      </c>
      <c r="V307" s="101">
        <v>0</v>
      </c>
      <c r="W307" s="104">
        <v>0.93500000000000005</v>
      </c>
      <c r="X307" s="101">
        <v>3037353</v>
      </c>
    </row>
    <row r="308" spans="1:24" ht="14">
      <c r="A308" s="93" t="s">
        <v>537</v>
      </c>
      <c r="B308" s="93">
        <v>17409016</v>
      </c>
      <c r="C308" s="94">
        <v>1</v>
      </c>
      <c r="D308" s="95" t="s">
        <v>125</v>
      </c>
      <c r="E308" s="96" t="s">
        <v>143</v>
      </c>
      <c r="F308" s="97">
        <v>18611948223</v>
      </c>
      <c r="G308" s="105"/>
      <c r="H308" s="100"/>
      <c r="I308" s="100"/>
      <c r="L308" s="101">
        <v>2906961</v>
      </c>
      <c r="M308" s="102">
        <v>1.55E-4</v>
      </c>
      <c r="N308" s="103">
        <f t="shared" si="4"/>
        <v>450.57895500000001</v>
      </c>
      <c r="O308" s="101">
        <v>5523</v>
      </c>
      <c r="P308" s="104">
        <v>9.7999999999999997E-3</v>
      </c>
      <c r="Q308" s="104">
        <v>3.6299999999999999E-2</v>
      </c>
      <c r="R308" s="97">
        <v>0</v>
      </c>
      <c r="S308" s="101">
        <v>0</v>
      </c>
      <c r="T308" s="101">
        <v>0</v>
      </c>
      <c r="U308" s="101">
        <v>0</v>
      </c>
      <c r="V308" s="101">
        <v>0</v>
      </c>
      <c r="W308" s="104">
        <v>0.93400000000000005</v>
      </c>
      <c r="X308" s="101">
        <v>2715102</v>
      </c>
    </row>
    <row r="309" spans="1:24" ht="14">
      <c r="A309" s="93" t="s">
        <v>538</v>
      </c>
      <c r="B309" s="93">
        <v>486183</v>
      </c>
      <c r="C309" s="94">
        <v>1</v>
      </c>
      <c r="D309" s="95" t="s">
        <v>122</v>
      </c>
      <c r="E309" s="96" t="s">
        <v>471</v>
      </c>
      <c r="F309" s="97">
        <v>18561182759</v>
      </c>
      <c r="G309" s="111" t="s">
        <v>22</v>
      </c>
      <c r="H309" s="100"/>
      <c r="I309" s="100"/>
      <c r="L309" s="101">
        <v>3002447</v>
      </c>
      <c r="M309" s="102">
        <v>5.0799999999999999E-4</v>
      </c>
      <c r="N309" s="103">
        <f t="shared" si="4"/>
        <v>1525.243076</v>
      </c>
      <c r="O309" s="101">
        <v>14712</v>
      </c>
      <c r="P309" s="104">
        <v>0.10580000000000001</v>
      </c>
      <c r="Q309" s="104">
        <v>1.8599999999999998E-2</v>
      </c>
      <c r="R309" s="97">
        <v>0</v>
      </c>
      <c r="S309" s="101">
        <v>0</v>
      </c>
      <c r="T309" s="101">
        <v>0</v>
      </c>
      <c r="U309" s="101">
        <v>4</v>
      </c>
      <c r="V309" s="101">
        <v>425671</v>
      </c>
      <c r="W309" s="104">
        <v>0.92600000000000005</v>
      </c>
      <c r="X309" s="101">
        <v>2780266</v>
      </c>
    </row>
    <row r="310" spans="1:24" ht="14">
      <c r="A310" s="93" t="s">
        <v>539</v>
      </c>
      <c r="B310" s="93">
        <v>32786875</v>
      </c>
      <c r="C310" s="94">
        <v>1</v>
      </c>
      <c r="D310" s="95" t="s">
        <v>125</v>
      </c>
      <c r="E310" s="96" t="s">
        <v>540</v>
      </c>
      <c r="F310" s="97">
        <v>631104726</v>
      </c>
      <c r="G310" s="105"/>
      <c r="H310" s="100"/>
      <c r="I310" s="100"/>
      <c r="L310" s="101">
        <v>3755591</v>
      </c>
      <c r="M310" s="102">
        <v>2.6699999999999998E-4</v>
      </c>
      <c r="N310" s="103">
        <f t="shared" si="4"/>
        <v>1002.742797</v>
      </c>
      <c r="O310" s="101">
        <v>9013</v>
      </c>
      <c r="P310" s="104">
        <v>4.7999999999999996E-3</v>
      </c>
      <c r="Q310" s="104">
        <v>0.24690000000000001</v>
      </c>
      <c r="R310" s="97">
        <v>0</v>
      </c>
      <c r="S310" s="101">
        <v>0</v>
      </c>
      <c r="T310" s="101">
        <v>0</v>
      </c>
      <c r="U310" s="101">
        <v>0</v>
      </c>
      <c r="V310" s="101">
        <v>0</v>
      </c>
      <c r="W310" s="104">
        <v>0.92400000000000004</v>
      </c>
      <c r="X310" s="101">
        <v>3470166</v>
      </c>
    </row>
    <row r="311" spans="1:24" ht="14">
      <c r="A311" s="93" t="s">
        <v>541</v>
      </c>
      <c r="B311" s="93">
        <v>4474705</v>
      </c>
      <c r="C311" s="94">
        <v>1</v>
      </c>
      <c r="D311" s="95" t="s">
        <v>125</v>
      </c>
      <c r="E311" s="96" t="s">
        <v>143</v>
      </c>
      <c r="F311" s="97">
        <v>8043730591</v>
      </c>
      <c r="G311" s="105"/>
      <c r="H311" s="100"/>
      <c r="I311" s="100"/>
      <c r="L311" s="101">
        <v>3493036</v>
      </c>
      <c r="M311" s="102">
        <v>2.8899999999999998E-4</v>
      </c>
      <c r="N311" s="103">
        <f t="shared" si="4"/>
        <v>1009.487404</v>
      </c>
      <c r="O311" s="101">
        <v>20260</v>
      </c>
      <c r="P311" s="104">
        <v>3.0999999999999999E-3</v>
      </c>
      <c r="Q311" s="104">
        <v>5.0900000000000001E-2</v>
      </c>
      <c r="R311" s="97">
        <v>0</v>
      </c>
      <c r="S311" s="101">
        <v>0</v>
      </c>
      <c r="T311" s="101">
        <v>0</v>
      </c>
      <c r="U311" s="101">
        <v>0</v>
      </c>
      <c r="V311" s="101">
        <v>0</v>
      </c>
      <c r="W311" s="104">
        <v>0.92300000000000004</v>
      </c>
      <c r="X311" s="101">
        <v>3224072</v>
      </c>
    </row>
    <row r="312" spans="1:24" ht="14">
      <c r="A312" s="108" t="s">
        <v>542</v>
      </c>
      <c r="B312" s="93">
        <v>116683</v>
      </c>
      <c r="C312" s="94">
        <v>1</v>
      </c>
      <c r="D312" s="95" t="s">
        <v>125</v>
      </c>
      <c r="E312" s="96" t="s">
        <v>341</v>
      </c>
      <c r="F312" s="97" t="e">
        <v>#N/A</v>
      </c>
      <c r="G312" s="105"/>
      <c r="H312" s="100"/>
      <c r="I312" s="100"/>
      <c r="L312" s="101">
        <v>4337259</v>
      </c>
      <c r="M312" s="102">
        <v>4.55E-4</v>
      </c>
      <c r="N312" s="103">
        <f t="shared" si="4"/>
        <v>1973.452845</v>
      </c>
      <c r="O312" s="101">
        <v>57686</v>
      </c>
      <c r="P312" s="104">
        <v>5.7999999999999996E-3</v>
      </c>
      <c r="Q312" s="104">
        <v>0.1144</v>
      </c>
      <c r="R312" s="97">
        <v>0</v>
      </c>
      <c r="S312" s="101">
        <v>0</v>
      </c>
      <c r="T312" s="101">
        <v>0</v>
      </c>
      <c r="U312" s="101">
        <v>0</v>
      </c>
      <c r="V312" s="101">
        <v>0</v>
      </c>
      <c r="W312" s="104">
        <v>0.92300000000000004</v>
      </c>
      <c r="X312" s="101">
        <v>4003290</v>
      </c>
    </row>
    <row r="313" spans="1:24" ht="14">
      <c r="A313" s="93" t="s">
        <v>543</v>
      </c>
      <c r="B313" s="93">
        <v>250111460</v>
      </c>
      <c r="C313" s="94">
        <v>1</v>
      </c>
      <c r="D313" s="95" t="s">
        <v>125</v>
      </c>
      <c r="E313" s="96" t="s">
        <v>130</v>
      </c>
      <c r="F313" s="97">
        <v>15669050616</v>
      </c>
      <c r="G313" s="105"/>
      <c r="H313" s="100"/>
      <c r="I313" s="100"/>
      <c r="L313" s="101">
        <v>3106027</v>
      </c>
      <c r="M313" s="102">
        <v>3.8300000000000003E-5</v>
      </c>
      <c r="N313" s="103">
        <f t="shared" si="4"/>
        <v>118.96083410000001</v>
      </c>
      <c r="O313" s="101">
        <v>8076</v>
      </c>
      <c r="P313" s="104">
        <v>0.3533</v>
      </c>
      <c r="Q313" s="104">
        <v>4.9299999999999997E-2</v>
      </c>
      <c r="R313" s="97">
        <v>0</v>
      </c>
      <c r="S313" s="101">
        <v>0</v>
      </c>
      <c r="T313" s="101">
        <v>0</v>
      </c>
      <c r="U313" s="101">
        <v>1</v>
      </c>
      <c r="V313" s="101">
        <v>2182690</v>
      </c>
      <c r="W313" s="104">
        <v>0.92</v>
      </c>
      <c r="X313" s="101">
        <v>2857545</v>
      </c>
    </row>
    <row r="314" spans="1:24" ht="14">
      <c r="A314" s="93" t="s">
        <v>544</v>
      </c>
      <c r="B314" s="93">
        <v>393166851</v>
      </c>
      <c r="C314" s="94">
        <v>1</v>
      </c>
      <c r="D314" s="95" t="s">
        <v>125</v>
      </c>
      <c r="E314" s="96" t="s">
        <v>128</v>
      </c>
      <c r="F314" s="97">
        <v>2017908418</v>
      </c>
      <c r="G314" s="105"/>
      <c r="H314" s="100"/>
      <c r="I314" s="100"/>
      <c r="L314" s="101">
        <v>3324660</v>
      </c>
      <c r="M314" s="102">
        <v>5.0299999999999997E-4</v>
      </c>
      <c r="N314" s="103">
        <f t="shared" si="4"/>
        <v>1672.3039799999999</v>
      </c>
      <c r="O314" s="101">
        <v>33912</v>
      </c>
      <c r="P314" s="104">
        <v>0.3931</v>
      </c>
      <c r="Q314" s="104">
        <v>1.7399999999999999E-2</v>
      </c>
      <c r="R314" s="97">
        <v>0</v>
      </c>
      <c r="S314" s="101">
        <v>0</v>
      </c>
      <c r="T314" s="101">
        <v>0</v>
      </c>
      <c r="U314" s="101">
        <v>0</v>
      </c>
      <c r="V314" s="101">
        <v>0</v>
      </c>
      <c r="W314" s="104">
        <v>0.91500000000000004</v>
      </c>
      <c r="X314" s="101">
        <v>3042064</v>
      </c>
    </row>
    <row r="315" spans="1:24" ht="14">
      <c r="A315" s="93" t="s">
        <v>545</v>
      </c>
      <c r="B315" s="93">
        <v>450595813</v>
      </c>
      <c r="C315" s="94">
        <v>1</v>
      </c>
      <c r="D315" s="95" t="s">
        <v>125</v>
      </c>
      <c r="E315" s="96" t="s">
        <v>141</v>
      </c>
      <c r="F315" s="97">
        <v>13376988143</v>
      </c>
      <c r="G315" s="105"/>
      <c r="H315" s="100"/>
      <c r="I315" s="100"/>
      <c r="L315" s="101">
        <v>2688992</v>
      </c>
      <c r="M315" s="102">
        <v>2.5900000000000001E-4</v>
      </c>
      <c r="N315" s="103">
        <f t="shared" si="4"/>
        <v>696.44892800000002</v>
      </c>
      <c r="O315" s="101">
        <v>14789</v>
      </c>
      <c r="P315" s="104">
        <v>2.8999999999999998E-3</v>
      </c>
      <c r="Q315" s="104">
        <v>0.10929999999999999</v>
      </c>
      <c r="R315" s="97">
        <v>0</v>
      </c>
      <c r="S315" s="101">
        <v>0</v>
      </c>
      <c r="T315" s="101">
        <v>0</v>
      </c>
      <c r="U315" s="101">
        <v>0</v>
      </c>
      <c r="V315" s="101">
        <v>0</v>
      </c>
      <c r="W315" s="104">
        <v>0.91400000000000003</v>
      </c>
      <c r="X315" s="101">
        <v>2457739</v>
      </c>
    </row>
    <row r="316" spans="1:24" ht="14">
      <c r="A316" s="93" t="s">
        <v>546</v>
      </c>
      <c r="B316" s="93">
        <v>123938419</v>
      </c>
      <c r="C316" s="94">
        <v>0</v>
      </c>
      <c r="D316" s="95" t="s">
        <v>125</v>
      </c>
      <c r="E316" s="96" t="s">
        <v>132</v>
      </c>
      <c r="F316" s="97">
        <v>15510181516</v>
      </c>
      <c r="G316" s="105"/>
      <c r="H316" s="100"/>
      <c r="I316" s="100"/>
      <c r="L316" s="101">
        <v>1820845</v>
      </c>
      <c r="M316" s="102">
        <v>1.047E-3</v>
      </c>
      <c r="N316" s="103">
        <f t="shared" si="4"/>
        <v>1906.4247149999999</v>
      </c>
      <c r="O316" s="101">
        <v>7830</v>
      </c>
      <c r="P316" s="104">
        <v>3.3E-3</v>
      </c>
      <c r="Q316" s="104">
        <v>2.9000000000000001E-2</v>
      </c>
      <c r="R316" s="97">
        <v>0</v>
      </c>
      <c r="S316" s="101">
        <v>0</v>
      </c>
      <c r="T316" s="101">
        <v>0</v>
      </c>
      <c r="U316" s="101">
        <v>0</v>
      </c>
      <c r="V316" s="101">
        <v>0</v>
      </c>
      <c r="W316" s="104">
        <v>0.94199999999999995</v>
      </c>
      <c r="X316" s="101">
        <v>1715236</v>
      </c>
    </row>
    <row r="317" spans="1:24" ht="14">
      <c r="A317" s="93" t="s">
        <v>547</v>
      </c>
      <c r="B317" s="93">
        <v>3682229</v>
      </c>
      <c r="C317" s="94">
        <v>0</v>
      </c>
      <c r="D317" s="95" t="s">
        <v>125</v>
      </c>
      <c r="E317" s="96" t="s">
        <v>276</v>
      </c>
      <c r="F317" s="97">
        <v>15221034059</v>
      </c>
      <c r="G317" s="105"/>
      <c r="H317" s="100"/>
      <c r="I317" s="100"/>
      <c r="L317" s="101">
        <v>1709465</v>
      </c>
      <c r="M317" s="102">
        <v>1.93E-4</v>
      </c>
      <c r="N317" s="103">
        <f t="shared" si="4"/>
        <v>329.92674499999998</v>
      </c>
      <c r="O317" s="101">
        <v>5983</v>
      </c>
      <c r="P317" s="104">
        <v>1.9E-3</v>
      </c>
      <c r="Q317" s="104">
        <v>6.08E-2</v>
      </c>
      <c r="R317" s="97">
        <v>0</v>
      </c>
      <c r="S317" s="101">
        <v>0</v>
      </c>
      <c r="T317" s="101">
        <v>0</v>
      </c>
      <c r="U317" s="101">
        <v>0</v>
      </c>
      <c r="V317" s="101">
        <v>0</v>
      </c>
      <c r="W317" s="104">
        <v>0.94</v>
      </c>
      <c r="X317" s="101">
        <v>1606897</v>
      </c>
    </row>
    <row r="318" spans="1:24" ht="14">
      <c r="A318" s="93" t="s">
        <v>548</v>
      </c>
      <c r="B318" s="93">
        <v>279991456</v>
      </c>
      <c r="C318" s="94">
        <v>0</v>
      </c>
      <c r="D318" s="95" t="s">
        <v>125</v>
      </c>
      <c r="E318" s="96" t="s">
        <v>147</v>
      </c>
      <c r="F318" s="97">
        <v>18402108349</v>
      </c>
      <c r="G318" s="105"/>
      <c r="H318" s="100"/>
      <c r="I318" s="100"/>
      <c r="L318" s="101">
        <v>1755856</v>
      </c>
      <c r="M318" s="102">
        <v>6.9499999999999995E-5</v>
      </c>
      <c r="N318" s="103">
        <f t="shared" si="4"/>
        <v>122.03199199999999</v>
      </c>
      <c r="O318" s="101">
        <v>5970</v>
      </c>
      <c r="P318" s="104">
        <v>1.6000000000000001E-3</v>
      </c>
      <c r="Q318" s="104">
        <v>2.76E-2</v>
      </c>
      <c r="R318" s="97">
        <v>0</v>
      </c>
      <c r="S318" s="101">
        <v>0</v>
      </c>
      <c r="T318" s="101">
        <v>0</v>
      </c>
      <c r="U318" s="101">
        <v>0</v>
      </c>
      <c r="V318" s="101">
        <v>0</v>
      </c>
      <c r="W318" s="104">
        <v>0.93799999999999994</v>
      </c>
      <c r="X318" s="101">
        <v>1646993</v>
      </c>
    </row>
    <row r="319" spans="1:24" ht="14">
      <c r="A319" s="93" t="s">
        <v>549</v>
      </c>
      <c r="B319" s="93">
        <v>19456751</v>
      </c>
      <c r="C319" s="94">
        <v>0</v>
      </c>
      <c r="D319" s="95" t="s">
        <v>125</v>
      </c>
      <c r="E319" s="96" t="s">
        <v>132</v>
      </c>
      <c r="F319" s="97">
        <v>13166793350</v>
      </c>
      <c r="G319" s="105"/>
      <c r="H319" s="100"/>
      <c r="I319" s="100"/>
      <c r="L319" s="101">
        <v>1834768</v>
      </c>
      <c r="M319" s="102">
        <v>1.56E-3</v>
      </c>
      <c r="N319" s="103">
        <f t="shared" si="4"/>
        <v>2862.2380800000001</v>
      </c>
      <c r="O319" s="101">
        <v>19265</v>
      </c>
      <c r="P319" s="104">
        <v>1.8E-3</v>
      </c>
      <c r="Q319" s="104">
        <v>4.65E-2</v>
      </c>
      <c r="R319" s="97">
        <v>0</v>
      </c>
      <c r="S319" s="101">
        <v>0</v>
      </c>
      <c r="T319" s="101">
        <v>0</v>
      </c>
      <c r="U319" s="101">
        <v>0</v>
      </c>
      <c r="V319" s="101">
        <v>0</v>
      </c>
      <c r="W319" s="104">
        <v>0.93300000000000005</v>
      </c>
      <c r="X319" s="101">
        <v>1711839</v>
      </c>
    </row>
    <row r="320" spans="1:24" ht="14">
      <c r="A320" s="93" t="s">
        <v>550</v>
      </c>
      <c r="B320" s="93">
        <v>295711424</v>
      </c>
      <c r="C320" s="94">
        <v>0</v>
      </c>
      <c r="D320" s="95" t="s">
        <v>125</v>
      </c>
      <c r="E320" s="96" t="s">
        <v>147</v>
      </c>
      <c r="F320" s="97">
        <v>19905081994</v>
      </c>
      <c r="G320" s="105"/>
      <c r="H320" s="100"/>
      <c r="I320" s="100"/>
      <c r="L320" s="101">
        <v>1950983</v>
      </c>
      <c r="M320" s="102">
        <v>2.4000000000000001E-4</v>
      </c>
      <c r="N320" s="103">
        <f t="shared" si="4"/>
        <v>468.23592000000002</v>
      </c>
      <c r="O320" s="101">
        <v>13267</v>
      </c>
      <c r="P320" s="104">
        <v>2.0999999999999999E-3</v>
      </c>
      <c r="Q320" s="104">
        <v>6.9000000000000006E-2</v>
      </c>
      <c r="R320" s="97">
        <v>0</v>
      </c>
      <c r="S320" s="101">
        <v>0</v>
      </c>
      <c r="T320" s="101">
        <v>0</v>
      </c>
      <c r="U320" s="101">
        <v>0</v>
      </c>
      <c r="V320" s="101">
        <v>0</v>
      </c>
      <c r="W320" s="104">
        <v>0.93100000000000005</v>
      </c>
      <c r="X320" s="101">
        <v>1816365</v>
      </c>
    </row>
    <row r="321" spans="1:24" ht="14">
      <c r="A321" s="93" t="s">
        <v>551</v>
      </c>
      <c r="B321" s="93">
        <v>684169</v>
      </c>
      <c r="C321" s="94">
        <v>0</v>
      </c>
      <c r="D321" s="95" t="s">
        <v>125</v>
      </c>
      <c r="E321" s="96" t="s">
        <v>253</v>
      </c>
      <c r="F321" s="97">
        <v>13123905570</v>
      </c>
      <c r="G321" s="105"/>
      <c r="H321" s="100"/>
      <c r="I321" s="100"/>
      <c r="L321" s="101">
        <v>1728588</v>
      </c>
      <c r="M321" s="102">
        <v>1.0560000000000001E-3</v>
      </c>
      <c r="N321" s="103">
        <f t="shared" si="4"/>
        <v>1825.3889280000001</v>
      </c>
      <c r="O321" s="101">
        <v>22990</v>
      </c>
      <c r="P321" s="104">
        <v>3.95E-2</v>
      </c>
      <c r="Q321" s="104">
        <v>3.2099999999999997E-2</v>
      </c>
      <c r="R321" s="97">
        <v>0</v>
      </c>
      <c r="S321" s="101">
        <v>0</v>
      </c>
      <c r="T321" s="101">
        <v>0</v>
      </c>
      <c r="U321" s="101">
        <v>1</v>
      </c>
      <c r="V321" s="101">
        <v>2416686</v>
      </c>
      <c r="W321" s="104">
        <v>0.92800000000000005</v>
      </c>
      <c r="X321" s="101">
        <v>1604130</v>
      </c>
    </row>
    <row r="322" spans="1:24" ht="14">
      <c r="A322" s="93" t="s">
        <v>552</v>
      </c>
      <c r="B322" s="93">
        <v>596324576</v>
      </c>
      <c r="C322" s="94">
        <v>0</v>
      </c>
      <c r="D322" s="95" t="s">
        <v>125</v>
      </c>
      <c r="E322" s="96" t="s">
        <v>253</v>
      </c>
      <c r="F322" s="97">
        <v>15110227232</v>
      </c>
      <c r="G322" s="105"/>
      <c r="H322" s="100"/>
      <c r="I322" s="100"/>
      <c r="L322" s="101">
        <v>1751883</v>
      </c>
      <c r="M322" s="102">
        <v>1.4799999999999999E-4</v>
      </c>
      <c r="N322" s="103">
        <f t="shared" ref="N322:N385" si="5">L322*M322</f>
        <v>259.278684</v>
      </c>
      <c r="O322" s="101">
        <v>4205</v>
      </c>
      <c r="P322" s="104">
        <v>3.8E-3</v>
      </c>
      <c r="Q322" s="104">
        <v>3.1300000000000001E-2</v>
      </c>
      <c r="R322" s="97">
        <v>0</v>
      </c>
      <c r="S322" s="101">
        <v>0</v>
      </c>
      <c r="T322" s="101">
        <v>0</v>
      </c>
      <c r="U322" s="101">
        <v>0</v>
      </c>
      <c r="V322" s="101">
        <v>0</v>
      </c>
      <c r="W322" s="104">
        <v>0.92600000000000005</v>
      </c>
      <c r="X322" s="101">
        <v>1622244</v>
      </c>
    </row>
    <row r="323" spans="1:24" ht="14">
      <c r="A323" s="93" t="s">
        <v>553</v>
      </c>
      <c r="B323" s="93">
        <v>104207471</v>
      </c>
      <c r="C323" s="94">
        <v>0</v>
      </c>
      <c r="D323" s="95" t="s">
        <v>125</v>
      </c>
      <c r="E323" s="96" t="s">
        <v>276</v>
      </c>
      <c r="F323" s="97">
        <v>18516652419</v>
      </c>
      <c r="G323" s="105"/>
      <c r="H323" s="100"/>
      <c r="I323" s="100"/>
      <c r="L323" s="101">
        <v>1819127</v>
      </c>
      <c r="M323" s="102">
        <v>1.08E-4</v>
      </c>
      <c r="N323" s="103">
        <f t="shared" si="5"/>
        <v>196.46571599999999</v>
      </c>
      <c r="O323" s="101">
        <v>8004</v>
      </c>
      <c r="P323" s="104">
        <v>1.6799999999999999E-2</v>
      </c>
      <c r="Q323" s="104">
        <v>4.3499999999999997E-2</v>
      </c>
      <c r="R323" s="97">
        <v>0</v>
      </c>
      <c r="S323" s="101">
        <v>0</v>
      </c>
      <c r="T323" s="101">
        <v>0</v>
      </c>
      <c r="U323" s="101">
        <v>0</v>
      </c>
      <c r="V323" s="101">
        <v>0</v>
      </c>
      <c r="W323" s="104">
        <v>0.92300000000000004</v>
      </c>
      <c r="X323" s="101">
        <v>1679054</v>
      </c>
    </row>
    <row r="324" spans="1:24" ht="14">
      <c r="A324" s="93" t="s">
        <v>554</v>
      </c>
      <c r="B324" s="93">
        <v>513722566</v>
      </c>
      <c r="C324" s="94">
        <v>0</v>
      </c>
      <c r="D324" s="95" t="s">
        <v>125</v>
      </c>
      <c r="E324" s="96" t="s">
        <v>130</v>
      </c>
      <c r="F324" s="97">
        <v>13817664860</v>
      </c>
      <c r="G324" s="105"/>
      <c r="H324" s="100"/>
      <c r="I324" s="100"/>
      <c r="L324" s="101">
        <v>1685568</v>
      </c>
      <c r="M324" s="102">
        <v>4.1399999999999998E-4</v>
      </c>
      <c r="N324" s="103">
        <f t="shared" si="5"/>
        <v>697.825152</v>
      </c>
      <c r="O324" s="101">
        <v>5057</v>
      </c>
      <c r="P324" s="104">
        <v>1.6400000000000001E-2</v>
      </c>
      <c r="Q324" s="104">
        <v>0.1573</v>
      </c>
      <c r="R324" s="97">
        <v>4</v>
      </c>
      <c r="S324" s="101">
        <v>33916</v>
      </c>
      <c r="T324" s="101">
        <v>28581</v>
      </c>
      <c r="U324" s="101">
        <v>4</v>
      </c>
      <c r="V324" s="101">
        <v>51932</v>
      </c>
      <c r="W324" s="104">
        <v>0.92200000000000004</v>
      </c>
      <c r="X324" s="101">
        <v>1554094</v>
      </c>
    </row>
    <row r="325" spans="1:24" ht="14">
      <c r="A325" s="93" t="s">
        <v>555</v>
      </c>
      <c r="B325" s="93">
        <v>161419374</v>
      </c>
      <c r="C325" s="94">
        <v>0</v>
      </c>
      <c r="D325" s="95" t="s">
        <v>125</v>
      </c>
      <c r="E325" s="96" t="s">
        <v>143</v>
      </c>
      <c r="F325" s="97">
        <v>19583730535</v>
      </c>
      <c r="G325" s="105" t="s">
        <v>20</v>
      </c>
      <c r="H325" s="100"/>
      <c r="I325" s="100"/>
      <c r="L325" s="101">
        <v>1628534</v>
      </c>
      <c r="M325" s="102">
        <v>3.3399999999999999E-4</v>
      </c>
      <c r="N325" s="103">
        <f t="shared" si="5"/>
        <v>543.93035599999996</v>
      </c>
      <c r="O325" s="101">
        <v>14005</v>
      </c>
      <c r="P325" s="104">
        <v>9.1000000000000004E-3</v>
      </c>
      <c r="Q325" s="104">
        <v>9.0200000000000002E-2</v>
      </c>
      <c r="R325" s="97">
        <v>0</v>
      </c>
      <c r="S325" s="101">
        <v>0</v>
      </c>
      <c r="T325" s="101">
        <v>0</v>
      </c>
      <c r="U325" s="101">
        <v>0</v>
      </c>
      <c r="V325" s="101">
        <v>0</v>
      </c>
      <c r="W325" s="104">
        <v>0.91700000000000004</v>
      </c>
      <c r="X325" s="101">
        <v>1493366</v>
      </c>
    </row>
    <row r="326" spans="1:24" ht="14">
      <c r="A326" s="93" t="s">
        <v>556</v>
      </c>
      <c r="B326" s="93">
        <v>7714</v>
      </c>
      <c r="C326" s="94">
        <v>0</v>
      </c>
      <c r="D326" s="95" t="s">
        <v>125</v>
      </c>
      <c r="E326" s="96" t="s">
        <v>147</v>
      </c>
      <c r="F326" s="97">
        <v>15101003735</v>
      </c>
      <c r="G326" s="105"/>
      <c r="H326" s="100"/>
      <c r="I326" s="100"/>
      <c r="L326" s="101">
        <v>2486665</v>
      </c>
      <c r="M326" s="102">
        <v>1.17E-3</v>
      </c>
      <c r="N326" s="103">
        <f t="shared" si="5"/>
        <v>2909.3980500000002</v>
      </c>
      <c r="O326" s="101">
        <v>33819</v>
      </c>
      <c r="P326" s="104">
        <v>0.1895</v>
      </c>
      <c r="Q326" s="104">
        <v>2.8E-3</v>
      </c>
      <c r="R326" s="97">
        <v>0</v>
      </c>
      <c r="S326" s="101">
        <v>0</v>
      </c>
      <c r="T326" s="101">
        <v>0</v>
      </c>
      <c r="U326" s="101">
        <v>1</v>
      </c>
      <c r="V326" s="101">
        <v>7019446</v>
      </c>
      <c r="W326" s="104">
        <v>0.91600000000000004</v>
      </c>
      <c r="X326" s="101">
        <v>2277785</v>
      </c>
    </row>
    <row r="327" spans="1:24" ht="14">
      <c r="A327" s="93" t="s">
        <v>557</v>
      </c>
      <c r="B327" s="93">
        <v>7792521</v>
      </c>
      <c r="C327" s="94">
        <v>0</v>
      </c>
      <c r="D327" s="95" t="s">
        <v>125</v>
      </c>
      <c r="E327" s="96" t="s">
        <v>245</v>
      </c>
      <c r="F327" s="97">
        <v>19924117537</v>
      </c>
      <c r="G327" s="105"/>
      <c r="H327" s="100"/>
      <c r="I327" s="100"/>
      <c r="L327" s="101">
        <v>1825347</v>
      </c>
      <c r="M327" s="102">
        <v>5.1099999999999995E-4</v>
      </c>
      <c r="N327" s="103">
        <f t="shared" si="5"/>
        <v>932.75231699999995</v>
      </c>
      <c r="O327" s="101">
        <v>33769</v>
      </c>
      <c r="P327" s="104">
        <v>1.6199999999999999E-2</v>
      </c>
      <c r="Q327" s="104">
        <v>2.7799999999999998E-2</v>
      </c>
      <c r="R327" s="97">
        <v>0</v>
      </c>
      <c r="S327" s="101">
        <v>0</v>
      </c>
      <c r="T327" s="101">
        <v>0</v>
      </c>
      <c r="U327" s="101">
        <v>0</v>
      </c>
      <c r="V327" s="101">
        <v>0</v>
      </c>
      <c r="W327" s="104">
        <v>0.91600000000000004</v>
      </c>
      <c r="X327" s="101">
        <v>1672018</v>
      </c>
    </row>
    <row r="328" spans="1:24" ht="14">
      <c r="A328" s="93" t="s">
        <v>558</v>
      </c>
      <c r="B328" s="93">
        <v>7875104</v>
      </c>
      <c r="C328" s="94">
        <v>0</v>
      </c>
      <c r="D328" s="95" t="s">
        <v>125</v>
      </c>
      <c r="E328" s="96" t="s">
        <v>141</v>
      </c>
      <c r="F328" s="97">
        <v>13552493704</v>
      </c>
      <c r="G328" s="105"/>
      <c r="H328" s="100"/>
      <c r="I328" s="100"/>
      <c r="L328" s="101">
        <v>1190346</v>
      </c>
      <c r="M328" s="102">
        <v>8.4E-7</v>
      </c>
      <c r="N328" s="103">
        <f t="shared" si="5"/>
        <v>0.99989064000000005</v>
      </c>
      <c r="O328" s="101">
        <v>714</v>
      </c>
      <c r="P328" s="104">
        <v>1.1999999999999999E-3</v>
      </c>
      <c r="Q328" s="104">
        <v>1.8E-3</v>
      </c>
      <c r="R328" s="97">
        <v>0</v>
      </c>
      <c r="S328" s="101">
        <v>0</v>
      </c>
      <c r="T328" s="101">
        <v>0</v>
      </c>
      <c r="U328" s="101">
        <v>0</v>
      </c>
      <c r="V328" s="101">
        <v>0</v>
      </c>
      <c r="W328" s="104">
        <v>0.93500000000000005</v>
      </c>
      <c r="X328" s="101">
        <v>1112974</v>
      </c>
    </row>
    <row r="329" spans="1:24" ht="14">
      <c r="A329" s="93" t="s">
        <v>559</v>
      </c>
      <c r="B329" s="93">
        <v>5293668</v>
      </c>
      <c r="C329" s="94">
        <v>0</v>
      </c>
      <c r="D329" s="95" t="s">
        <v>125</v>
      </c>
      <c r="E329" s="96" t="s">
        <v>208</v>
      </c>
      <c r="F329" s="97">
        <v>13377858269</v>
      </c>
      <c r="G329" s="105"/>
      <c r="H329" s="100"/>
      <c r="I329" s="100"/>
      <c r="L329" s="101">
        <v>1107575</v>
      </c>
      <c r="M329" s="102">
        <v>7.5799999999999999E-5</v>
      </c>
      <c r="N329" s="103">
        <f t="shared" si="5"/>
        <v>83.954184999999995</v>
      </c>
      <c r="O329" s="101">
        <v>4320</v>
      </c>
      <c r="P329" s="104">
        <v>4.1000000000000003E-3</v>
      </c>
      <c r="Q329" s="104">
        <v>2.87E-2</v>
      </c>
      <c r="R329" s="97">
        <v>0</v>
      </c>
      <c r="S329" s="101">
        <v>0</v>
      </c>
      <c r="T329" s="101">
        <v>0</v>
      </c>
      <c r="U329" s="101">
        <v>0</v>
      </c>
      <c r="V329" s="101">
        <v>0</v>
      </c>
      <c r="W329" s="104">
        <v>0.93500000000000005</v>
      </c>
      <c r="X329" s="101">
        <v>1035583</v>
      </c>
    </row>
    <row r="330" spans="1:24" ht="14">
      <c r="A330" s="93" t="s">
        <v>560</v>
      </c>
      <c r="B330" s="93">
        <v>16853896</v>
      </c>
      <c r="C330" s="94">
        <v>0</v>
      </c>
      <c r="D330" s="95" t="s">
        <v>125</v>
      </c>
      <c r="E330" s="96" t="s">
        <v>276</v>
      </c>
      <c r="F330" s="97">
        <v>13918873054</v>
      </c>
      <c r="G330" s="105"/>
      <c r="H330" s="100"/>
      <c r="I330" s="100"/>
      <c r="L330" s="101">
        <v>1331477</v>
      </c>
      <c r="M330" s="102">
        <v>5.9299999999999998E-5</v>
      </c>
      <c r="N330" s="103">
        <f t="shared" si="5"/>
        <v>78.956586099999996</v>
      </c>
      <c r="O330" s="101">
        <v>8655</v>
      </c>
      <c r="P330" s="104">
        <v>5.7999999999999996E-3</v>
      </c>
      <c r="Q330" s="104">
        <v>0.11360000000000001</v>
      </c>
      <c r="R330" s="97">
        <v>0</v>
      </c>
      <c r="S330" s="101">
        <v>0</v>
      </c>
      <c r="T330" s="101">
        <v>0</v>
      </c>
      <c r="U330" s="101">
        <v>0</v>
      </c>
      <c r="V330" s="101">
        <v>0</v>
      </c>
      <c r="W330" s="104">
        <v>0.93500000000000005</v>
      </c>
      <c r="X330" s="101">
        <v>1244931</v>
      </c>
    </row>
    <row r="331" spans="1:24" ht="14">
      <c r="A331" s="93" t="s">
        <v>561</v>
      </c>
      <c r="B331" s="93">
        <v>32365949</v>
      </c>
      <c r="C331" s="94">
        <v>0</v>
      </c>
      <c r="D331" s="95" t="s">
        <v>125</v>
      </c>
      <c r="E331" s="96" t="s">
        <v>147</v>
      </c>
      <c r="F331" s="97">
        <v>15980290354</v>
      </c>
      <c r="G331" s="105"/>
      <c r="H331" s="100"/>
      <c r="I331" s="100"/>
      <c r="L331" s="101">
        <v>1402801</v>
      </c>
      <c r="M331" s="102">
        <v>1.13E-4</v>
      </c>
      <c r="N331" s="103">
        <f t="shared" si="5"/>
        <v>158.516513</v>
      </c>
      <c r="O331" s="101">
        <v>7996</v>
      </c>
      <c r="P331" s="104">
        <v>1.4E-3</v>
      </c>
      <c r="Q331" s="104">
        <v>6.4000000000000003E-3</v>
      </c>
      <c r="R331" s="97">
        <v>0</v>
      </c>
      <c r="S331" s="101">
        <v>0</v>
      </c>
      <c r="T331" s="101">
        <v>0</v>
      </c>
      <c r="U331" s="101">
        <v>0</v>
      </c>
      <c r="V331" s="101">
        <v>0</v>
      </c>
      <c r="W331" s="104">
        <v>0.93400000000000005</v>
      </c>
      <c r="X331" s="101">
        <v>1310216</v>
      </c>
    </row>
    <row r="332" spans="1:24" ht="14">
      <c r="A332" s="93" t="s">
        <v>562</v>
      </c>
      <c r="B332" s="93">
        <v>16307541</v>
      </c>
      <c r="C332" s="94">
        <v>0</v>
      </c>
      <c r="D332" s="95" t="s">
        <v>125</v>
      </c>
      <c r="E332" s="97">
        <v>0</v>
      </c>
      <c r="F332" s="97">
        <v>13520037102</v>
      </c>
      <c r="G332" s="105"/>
      <c r="H332" s="100"/>
      <c r="I332" s="100"/>
      <c r="L332" s="101">
        <v>1545547</v>
      </c>
      <c r="M332" s="102">
        <v>1.8200000000000001E-4</v>
      </c>
      <c r="N332" s="103">
        <f t="shared" si="5"/>
        <v>281.28955400000001</v>
      </c>
      <c r="O332" s="101">
        <v>5255</v>
      </c>
      <c r="P332" s="104">
        <v>8.0999999999999996E-3</v>
      </c>
      <c r="Q332" s="104">
        <v>4.6300000000000001E-2</v>
      </c>
      <c r="R332" s="97">
        <v>0</v>
      </c>
      <c r="S332" s="101">
        <v>0</v>
      </c>
      <c r="T332" s="101">
        <v>0</v>
      </c>
      <c r="U332" s="101">
        <v>0</v>
      </c>
      <c r="V332" s="101">
        <v>0</v>
      </c>
      <c r="W332" s="104">
        <v>0.93200000000000005</v>
      </c>
      <c r="X332" s="101">
        <v>1440450</v>
      </c>
    </row>
    <row r="333" spans="1:24" ht="14">
      <c r="A333" s="93" t="s">
        <v>563</v>
      </c>
      <c r="B333" s="93">
        <v>185546</v>
      </c>
      <c r="C333" s="94">
        <v>0</v>
      </c>
      <c r="D333" s="95" t="s">
        <v>125</v>
      </c>
      <c r="E333" s="96" t="s">
        <v>253</v>
      </c>
      <c r="F333" s="97">
        <v>18516393936</v>
      </c>
      <c r="G333" s="105"/>
      <c r="H333" s="100"/>
      <c r="I333" s="100"/>
      <c r="L333" s="101">
        <v>1074471</v>
      </c>
      <c r="M333" s="102">
        <v>1.77E-5</v>
      </c>
      <c r="N333" s="103">
        <f t="shared" si="5"/>
        <v>19.018136699999999</v>
      </c>
      <c r="O333" s="101">
        <v>1934</v>
      </c>
      <c r="P333" s="104">
        <v>5.4999999999999997E-3</v>
      </c>
      <c r="Q333" s="104">
        <v>4.0800000000000003E-2</v>
      </c>
      <c r="R333" s="97">
        <v>2</v>
      </c>
      <c r="S333" s="101">
        <v>39556</v>
      </c>
      <c r="T333" s="101">
        <v>37942</v>
      </c>
      <c r="U333" s="101">
        <v>2</v>
      </c>
      <c r="V333" s="101">
        <v>70997</v>
      </c>
      <c r="W333" s="104">
        <v>0.93100000000000005</v>
      </c>
      <c r="X333" s="101">
        <v>1000333</v>
      </c>
    </row>
    <row r="334" spans="1:24" ht="14">
      <c r="A334" s="93" t="s">
        <v>564</v>
      </c>
      <c r="B334" s="93">
        <v>249608727</v>
      </c>
      <c r="C334" s="94">
        <v>0</v>
      </c>
      <c r="D334" s="95" t="s">
        <v>122</v>
      </c>
      <c r="E334" s="96" t="s">
        <v>253</v>
      </c>
      <c r="F334" s="97">
        <v>19535991296</v>
      </c>
      <c r="G334" s="105" t="s">
        <v>137</v>
      </c>
      <c r="H334" s="100"/>
      <c r="I334" s="100"/>
      <c r="L334" s="101">
        <v>1101770</v>
      </c>
      <c r="M334" s="102">
        <v>9.0899999999999998E-4</v>
      </c>
      <c r="N334" s="103">
        <f t="shared" si="5"/>
        <v>1001.50893</v>
      </c>
      <c r="O334" s="101">
        <v>15315</v>
      </c>
      <c r="P334" s="104">
        <v>3.4099999999999998E-2</v>
      </c>
      <c r="Q334" s="104">
        <v>7.1300000000000002E-2</v>
      </c>
      <c r="R334" s="97">
        <v>0</v>
      </c>
      <c r="S334" s="101">
        <v>0</v>
      </c>
      <c r="T334" s="101">
        <v>0</v>
      </c>
      <c r="U334" s="101">
        <v>0</v>
      </c>
      <c r="V334" s="101">
        <v>0</v>
      </c>
      <c r="W334" s="104">
        <v>0.93100000000000005</v>
      </c>
      <c r="X334" s="101">
        <v>1025748</v>
      </c>
    </row>
    <row r="335" spans="1:24" ht="14">
      <c r="A335" s="93" t="s">
        <v>565</v>
      </c>
      <c r="B335" s="93">
        <v>3331521</v>
      </c>
      <c r="C335" s="94">
        <v>0</v>
      </c>
      <c r="D335" s="95" t="s">
        <v>125</v>
      </c>
      <c r="E335" s="96" t="s">
        <v>566</v>
      </c>
      <c r="F335" s="97">
        <v>17194060301</v>
      </c>
      <c r="G335" s="105"/>
      <c r="H335" s="100"/>
      <c r="I335" s="100"/>
      <c r="L335" s="101">
        <v>1001751</v>
      </c>
      <c r="M335" s="102">
        <v>1.054E-3</v>
      </c>
      <c r="N335" s="103">
        <f t="shared" si="5"/>
        <v>1055.845554</v>
      </c>
      <c r="O335" s="101">
        <v>20436</v>
      </c>
      <c r="P335" s="104">
        <v>0.31259999999999999</v>
      </c>
      <c r="Q335" s="104">
        <v>2.5100000000000001E-2</v>
      </c>
      <c r="R335" s="97">
        <v>5</v>
      </c>
      <c r="S335" s="101">
        <v>65441</v>
      </c>
      <c r="T335" s="101">
        <v>63798</v>
      </c>
      <c r="U335" s="101">
        <v>12</v>
      </c>
      <c r="V335" s="101">
        <v>58076</v>
      </c>
      <c r="W335" s="104">
        <v>0.93</v>
      </c>
      <c r="X335" s="101">
        <v>931628</v>
      </c>
    </row>
    <row r="336" spans="1:24" ht="14">
      <c r="A336" s="93" t="s">
        <v>567</v>
      </c>
      <c r="B336" s="93">
        <v>6171645</v>
      </c>
      <c r="C336" s="94">
        <v>0</v>
      </c>
      <c r="D336" s="95" t="s">
        <v>125</v>
      </c>
      <c r="E336" s="96" t="s">
        <v>245</v>
      </c>
      <c r="F336" s="97">
        <v>18680183733</v>
      </c>
      <c r="G336" s="105"/>
      <c r="H336" s="100"/>
      <c r="I336" s="100"/>
      <c r="L336" s="101">
        <v>1475034</v>
      </c>
      <c r="M336" s="102">
        <v>3.7399999999999998E-4</v>
      </c>
      <c r="N336" s="103">
        <f t="shared" si="5"/>
        <v>551.66271599999993</v>
      </c>
      <c r="O336" s="101">
        <v>17405</v>
      </c>
      <c r="P336" s="104">
        <v>4.0000000000000001E-3</v>
      </c>
      <c r="Q336" s="104">
        <v>3.7100000000000001E-2</v>
      </c>
      <c r="R336" s="97">
        <v>0</v>
      </c>
      <c r="S336" s="101">
        <v>0</v>
      </c>
      <c r="T336" s="101">
        <v>0</v>
      </c>
      <c r="U336" s="101">
        <v>0</v>
      </c>
      <c r="V336" s="101">
        <v>0</v>
      </c>
      <c r="W336" s="104">
        <v>0.92800000000000005</v>
      </c>
      <c r="X336" s="101">
        <v>1368832</v>
      </c>
    </row>
    <row r="337" spans="1:35" ht="14">
      <c r="A337" s="93" t="s">
        <v>568</v>
      </c>
      <c r="B337" s="93">
        <v>257975429</v>
      </c>
      <c r="C337" s="94">
        <v>0</v>
      </c>
      <c r="D337" s="95" t="s">
        <v>125</v>
      </c>
      <c r="E337" s="96" t="s">
        <v>569</v>
      </c>
      <c r="F337" s="97">
        <v>13911189309</v>
      </c>
      <c r="G337" s="105" t="s">
        <v>184</v>
      </c>
      <c r="H337" s="100"/>
      <c r="I337" s="100"/>
      <c r="J337" t="s">
        <v>570</v>
      </c>
      <c r="L337" s="101">
        <v>1295238</v>
      </c>
      <c r="M337" s="102">
        <v>1.5300000000000001E-4</v>
      </c>
      <c r="N337" s="103">
        <f t="shared" si="5"/>
        <v>198.171414</v>
      </c>
      <c r="O337" s="101">
        <v>8808</v>
      </c>
      <c r="P337" s="104">
        <v>4.0000000000000001E-3</v>
      </c>
      <c r="Q337" s="104">
        <v>1.32E-2</v>
      </c>
      <c r="R337" s="97">
        <v>0</v>
      </c>
      <c r="S337" s="101">
        <v>0</v>
      </c>
      <c r="T337" s="101">
        <v>0</v>
      </c>
      <c r="U337" s="101">
        <v>1</v>
      </c>
      <c r="V337" s="101">
        <v>660033</v>
      </c>
      <c r="W337" s="104">
        <v>0.92700000000000005</v>
      </c>
      <c r="X337" s="101">
        <v>1200686</v>
      </c>
    </row>
    <row r="338" spans="1:35" ht="14">
      <c r="A338" s="93" t="s">
        <v>571</v>
      </c>
      <c r="B338" s="93">
        <v>234256</v>
      </c>
      <c r="C338" s="94">
        <v>0</v>
      </c>
      <c r="D338" s="95" t="s">
        <v>125</v>
      </c>
      <c r="E338" s="96" t="s">
        <v>147</v>
      </c>
      <c r="F338" s="97">
        <v>15221997792</v>
      </c>
      <c r="G338" s="105"/>
      <c r="H338" s="100"/>
      <c r="I338" s="100"/>
      <c r="L338" s="101">
        <v>1520214</v>
      </c>
      <c r="M338" s="102">
        <v>1.395E-3</v>
      </c>
      <c r="N338" s="103">
        <f t="shared" si="5"/>
        <v>2120.6985300000001</v>
      </c>
      <c r="O338" s="101">
        <v>10337</v>
      </c>
      <c r="P338" s="104">
        <v>5.1999999999999998E-3</v>
      </c>
      <c r="Q338" s="104">
        <v>8.0399999999999999E-2</v>
      </c>
      <c r="R338" s="97">
        <v>0</v>
      </c>
      <c r="S338" s="101">
        <v>0</v>
      </c>
      <c r="T338" s="101">
        <v>0</v>
      </c>
      <c r="U338" s="101">
        <v>0</v>
      </c>
      <c r="V338" s="101">
        <v>0</v>
      </c>
      <c r="W338" s="104">
        <v>0.92600000000000005</v>
      </c>
      <c r="X338" s="101">
        <v>1407718</v>
      </c>
    </row>
    <row r="339" spans="1:35" ht="14">
      <c r="A339" s="93" t="s">
        <v>572</v>
      </c>
      <c r="B339" s="93">
        <v>437957199</v>
      </c>
      <c r="C339" s="94">
        <v>0</v>
      </c>
      <c r="D339" s="95" t="s">
        <v>122</v>
      </c>
      <c r="E339" s="96" t="s">
        <v>573</v>
      </c>
      <c r="F339" s="97" t="e">
        <v>#N/A</v>
      </c>
      <c r="G339" s="106" t="s">
        <v>137</v>
      </c>
      <c r="H339" s="99" t="s">
        <v>155</v>
      </c>
      <c r="I339" s="100"/>
      <c r="J339" t="s">
        <v>574</v>
      </c>
      <c r="K339" t="s">
        <v>575</v>
      </c>
      <c r="L339" s="101">
        <v>1248943</v>
      </c>
      <c r="M339" s="102">
        <v>2.415E-3</v>
      </c>
      <c r="N339" s="103">
        <f t="shared" si="5"/>
        <v>3016.197345</v>
      </c>
      <c r="O339" s="101">
        <v>31224</v>
      </c>
      <c r="P339" s="104">
        <v>8.6E-3</v>
      </c>
      <c r="Q339" s="104">
        <v>6.8000000000000005E-2</v>
      </c>
      <c r="R339" s="97">
        <v>0</v>
      </c>
      <c r="S339" s="101">
        <v>0</v>
      </c>
      <c r="T339" s="101">
        <v>0</v>
      </c>
      <c r="U339" s="101">
        <v>0</v>
      </c>
      <c r="V339" s="101">
        <v>0</v>
      </c>
      <c r="W339" s="104">
        <v>0.92400000000000004</v>
      </c>
      <c r="X339" s="101">
        <v>1154023</v>
      </c>
    </row>
    <row r="340" spans="1:35" ht="14">
      <c r="A340" s="93" t="s">
        <v>576</v>
      </c>
      <c r="B340" s="93">
        <v>30954515</v>
      </c>
      <c r="C340" s="94">
        <v>0</v>
      </c>
      <c r="D340" s="95" t="s">
        <v>125</v>
      </c>
      <c r="E340" s="96" t="s">
        <v>253</v>
      </c>
      <c r="F340" s="97">
        <v>13602593590</v>
      </c>
      <c r="G340" s="105"/>
      <c r="H340" s="100"/>
      <c r="I340" s="100"/>
      <c r="L340" s="101">
        <v>1080300</v>
      </c>
      <c r="M340" s="102">
        <v>1.5640000000000001E-3</v>
      </c>
      <c r="N340" s="103">
        <f t="shared" si="5"/>
        <v>1689.5892000000001</v>
      </c>
      <c r="O340" s="101">
        <v>14368</v>
      </c>
      <c r="P340" s="104">
        <v>2.2000000000000001E-3</v>
      </c>
      <c r="Q340" s="104">
        <v>2.4299999999999999E-2</v>
      </c>
      <c r="R340" s="97">
        <v>0</v>
      </c>
      <c r="S340" s="101">
        <v>0</v>
      </c>
      <c r="T340" s="101">
        <v>0</v>
      </c>
      <c r="U340" s="101">
        <v>0</v>
      </c>
      <c r="V340" s="101">
        <v>0</v>
      </c>
      <c r="W340" s="104">
        <v>0.92200000000000004</v>
      </c>
      <c r="X340" s="101">
        <v>996037</v>
      </c>
    </row>
    <row r="341" spans="1:35" ht="14">
      <c r="A341" s="93" t="s">
        <v>577</v>
      </c>
      <c r="B341" s="93">
        <v>216623621</v>
      </c>
      <c r="C341" s="94">
        <v>0</v>
      </c>
      <c r="D341" s="95" t="s">
        <v>125</v>
      </c>
      <c r="E341" s="96" t="s">
        <v>143</v>
      </c>
      <c r="F341" s="97">
        <v>17707061008</v>
      </c>
      <c r="G341" s="105"/>
      <c r="H341" s="100"/>
      <c r="I341" s="100"/>
      <c r="L341" s="101">
        <v>1126133</v>
      </c>
      <c r="M341" s="102">
        <v>1.7100000000000001E-4</v>
      </c>
      <c r="N341" s="103">
        <f t="shared" si="5"/>
        <v>192.56874300000001</v>
      </c>
      <c r="O341" s="101">
        <v>2590</v>
      </c>
      <c r="P341" s="104">
        <v>4.4999999999999997E-3</v>
      </c>
      <c r="Q341" s="104">
        <v>7.4399999999999994E-2</v>
      </c>
      <c r="R341" s="97">
        <v>0</v>
      </c>
      <c r="S341" s="101">
        <v>0</v>
      </c>
      <c r="T341" s="101">
        <v>0</v>
      </c>
      <c r="U341" s="101">
        <v>0</v>
      </c>
      <c r="V341" s="101">
        <v>0</v>
      </c>
      <c r="W341" s="104">
        <v>0.91900000000000004</v>
      </c>
      <c r="X341" s="101">
        <v>1034916</v>
      </c>
    </row>
    <row r="342" spans="1:35" ht="14">
      <c r="A342" s="93" t="s">
        <v>578</v>
      </c>
      <c r="B342" s="93">
        <v>11278782</v>
      </c>
      <c r="C342" s="94">
        <v>0</v>
      </c>
      <c r="D342" s="95" t="s">
        <v>125</v>
      </c>
      <c r="E342" s="96" t="s">
        <v>233</v>
      </c>
      <c r="F342" s="97">
        <v>15626150313</v>
      </c>
      <c r="G342" s="105"/>
      <c r="H342" s="100"/>
      <c r="I342" s="100"/>
      <c r="L342" s="101">
        <v>1402926</v>
      </c>
      <c r="M342" s="102">
        <v>1.74E-4</v>
      </c>
      <c r="N342" s="103">
        <f t="shared" si="5"/>
        <v>244.10912400000001</v>
      </c>
      <c r="O342" s="101">
        <v>4630</v>
      </c>
      <c r="P342" s="104">
        <v>0.1086</v>
      </c>
      <c r="Q342" s="104">
        <v>0.11849999999999999</v>
      </c>
      <c r="R342" s="97">
        <v>0</v>
      </c>
      <c r="S342" s="101">
        <v>0</v>
      </c>
      <c r="T342" s="101">
        <v>0</v>
      </c>
      <c r="U342" s="101">
        <v>0</v>
      </c>
      <c r="V342" s="101">
        <v>0</v>
      </c>
      <c r="W342" s="104">
        <v>0.91900000000000004</v>
      </c>
      <c r="X342" s="101">
        <v>1289289</v>
      </c>
    </row>
    <row r="343" spans="1:35" ht="14">
      <c r="A343" s="93" t="s">
        <v>579</v>
      </c>
      <c r="B343" s="93">
        <v>588278127</v>
      </c>
      <c r="C343" s="94">
        <v>0</v>
      </c>
      <c r="D343" s="95" t="s">
        <v>125</v>
      </c>
      <c r="E343" s="96" t="s">
        <v>580</v>
      </c>
      <c r="F343" s="97">
        <v>13213397431</v>
      </c>
      <c r="G343" s="105"/>
      <c r="H343" s="100"/>
      <c r="I343" s="100"/>
      <c r="L343" s="101">
        <v>1414715</v>
      </c>
      <c r="M343" s="112">
        <v>0</v>
      </c>
      <c r="N343" s="103">
        <f t="shared" si="5"/>
        <v>0</v>
      </c>
      <c r="O343" s="101">
        <v>0</v>
      </c>
      <c r="P343" s="104">
        <v>0</v>
      </c>
      <c r="Q343" s="104">
        <v>0</v>
      </c>
      <c r="R343" s="97">
        <v>0</v>
      </c>
      <c r="S343" s="101">
        <v>0</v>
      </c>
      <c r="T343" s="101">
        <v>0</v>
      </c>
      <c r="U343" s="101">
        <v>0</v>
      </c>
      <c r="V343" s="101">
        <v>0</v>
      </c>
      <c r="W343" s="104">
        <v>0.91800000000000004</v>
      </c>
      <c r="X343" s="101">
        <v>1298708</v>
      </c>
    </row>
    <row r="344" spans="1:35" ht="14">
      <c r="A344" s="93" t="s">
        <v>581</v>
      </c>
      <c r="B344" s="93">
        <v>1359172699</v>
      </c>
      <c r="C344" s="94">
        <v>0</v>
      </c>
      <c r="D344" s="95" t="s">
        <v>125</v>
      </c>
      <c r="E344" s="96" t="s">
        <v>582</v>
      </c>
      <c r="F344" s="97">
        <v>17821177211</v>
      </c>
      <c r="G344" s="105"/>
      <c r="H344" s="100"/>
      <c r="I344" s="100"/>
      <c r="L344" s="101">
        <v>1245866</v>
      </c>
      <c r="M344" s="102">
        <v>4.6600000000000001E-5</v>
      </c>
      <c r="N344" s="103">
        <f t="shared" si="5"/>
        <v>58.057355600000001</v>
      </c>
      <c r="O344" s="101">
        <v>4236</v>
      </c>
      <c r="P344" s="104">
        <v>0.68659999999999999</v>
      </c>
      <c r="Q344" s="104">
        <v>0.154</v>
      </c>
      <c r="R344" s="97">
        <v>0</v>
      </c>
      <c r="S344" s="101">
        <v>0</v>
      </c>
      <c r="T344" s="101">
        <v>0</v>
      </c>
      <c r="U344" s="101">
        <v>4</v>
      </c>
      <c r="V344" s="101">
        <v>300133</v>
      </c>
      <c r="W344" s="104">
        <v>0.90500000000000003</v>
      </c>
      <c r="X344" s="101">
        <v>1127509</v>
      </c>
    </row>
    <row r="345" spans="1:35" ht="14">
      <c r="A345" s="93" t="s">
        <v>583</v>
      </c>
      <c r="B345" s="93">
        <v>1950209</v>
      </c>
      <c r="C345" s="94">
        <v>0</v>
      </c>
      <c r="D345" s="95" t="s">
        <v>125</v>
      </c>
      <c r="E345" s="96" t="s">
        <v>147</v>
      </c>
      <c r="F345" s="97">
        <v>17317930612</v>
      </c>
      <c r="G345" s="105"/>
      <c r="H345" s="100"/>
      <c r="I345" s="100"/>
      <c r="L345" s="101">
        <v>1498511</v>
      </c>
      <c r="M345" s="102">
        <v>4.3199999999999998E-4</v>
      </c>
      <c r="N345" s="103">
        <f t="shared" si="5"/>
        <v>647.35675200000003</v>
      </c>
      <c r="O345" s="101">
        <v>55894</v>
      </c>
      <c r="P345" s="104">
        <v>0.1167</v>
      </c>
      <c r="Q345" s="104">
        <v>0.628</v>
      </c>
      <c r="R345" s="97">
        <v>0</v>
      </c>
      <c r="S345" s="101">
        <v>0</v>
      </c>
      <c r="T345" s="101">
        <v>0</v>
      </c>
      <c r="U345" s="101">
        <v>6</v>
      </c>
      <c r="V345" s="101">
        <v>435637</v>
      </c>
      <c r="W345" s="104">
        <v>0.90300000000000002</v>
      </c>
      <c r="X345" s="101">
        <v>1353155</v>
      </c>
    </row>
    <row r="346" spans="1:35" ht="14">
      <c r="A346" s="93" t="s">
        <v>584</v>
      </c>
      <c r="B346" s="93">
        <v>517184570</v>
      </c>
      <c r="C346" s="94">
        <v>0</v>
      </c>
      <c r="D346" s="95" t="s">
        <v>122</v>
      </c>
      <c r="E346" s="96" t="s">
        <v>527</v>
      </c>
      <c r="F346" s="97">
        <v>15066162617</v>
      </c>
      <c r="G346" s="105" t="s">
        <v>26</v>
      </c>
      <c r="H346" s="99" t="s">
        <v>214</v>
      </c>
      <c r="I346" s="100"/>
      <c r="J346" t="s">
        <v>534</v>
      </c>
      <c r="L346" s="101">
        <v>1250525</v>
      </c>
      <c r="M346" s="102">
        <v>1.4399999999999999E-5</v>
      </c>
      <c r="N346" s="103">
        <f t="shared" si="5"/>
        <v>18.007559999999998</v>
      </c>
      <c r="O346" s="101">
        <v>10379</v>
      </c>
      <c r="P346" s="104">
        <v>0.20130000000000001</v>
      </c>
      <c r="Q346" s="104">
        <v>0.90339999999999998</v>
      </c>
      <c r="R346" s="97">
        <v>3</v>
      </c>
      <c r="S346" s="101">
        <v>400136</v>
      </c>
      <c r="T346" s="101">
        <v>38653</v>
      </c>
      <c r="U346" s="101">
        <v>7</v>
      </c>
      <c r="V346" s="101">
        <v>376943</v>
      </c>
      <c r="W346" s="104">
        <v>0.89200000000000002</v>
      </c>
      <c r="X346" s="101">
        <v>1115468</v>
      </c>
    </row>
    <row r="347" spans="1:35" ht="14">
      <c r="A347" s="93" t="s">
        <v>585</v>
      </c>
      <c r="B347" s="93">
        <v>8549577</v>
      </c>
      <c r="C347" s="94">
        <v>0</v>
      </c>
      <c r="D347" s="95" t="s">
        <v>125</v>
      </c>
      <c r="E347" s="96" t="s">
        <v>272</v>
      </c>
      <c r="F347" s="97">
        <v>13143139825</v>
      </c>
      <c r="G347" s="105"/>
      <c r="H347" s="100"/>
      <c r="I347" s="100"/>
      <c r="L347" s="101">
        <v>1345453</v>
      </c>
      <c r="M347" s="102">
        <v>6.3199999999999997E-4</v>
      </c>
      <c r="N347" s="103">
        <f t="shared" si="5"/>
        <v>850.32629599999996</v>
      </c>
      <c r="O347" s="101">
        <v>31484</v>
      </c>
      <c r="P347" s="104">
        <v>0.22389999999999999</v>
      </c>
      <c r="Q347" s="104">
        <v>3.3500000000000002E-2</v>
      </c>
      <c r="R347" s="97">
        <v>0</v>
      </c>
      <c r="S347" s="101">
        <v>0</v>
      </c>
      <c r="T347" s="101">
        <v>0</v>
      </c>
      <c r="U347" s="101">
        <v>2</v>
      </c>
      <c r="V347" s="101">
        <v>2600122</v>
      </c>
      <c r="W347" s="104">
        <v>0.88800000000000001</v>
      </c>
      <c r="X347" s="101">
        <v>1194762</v>
      </c>
    </row>
    <row r="348" spans="1:35" ht="14">
      <c r="A348" s="113" t="s">
        <v>586</v>
      </c>
      <c r="G348" s="106" t="s">
        <v>26</v>
      </c>
      <c r="H348" s="99" t="s">
        <v>214</v>
      </c>
      <c r="I348" s="100"/>
      <c r="J348" t="s">
        <v>534</v>
      </c>
      <c r="O348" s="101"/>
      <c r="S348" s="101"/>
      <c r="T348" s="101"/>
      <c r="U348" s="101"/>
      <c r="V348" s="101"/>
      <c r="X348" s="101"/>
    </row>
    <row r="349" spans="1:35" ht="14">
      <c r="A349" s="113" t="s">
        <v>370</v>
      </c>
      <c r="G349" s="106" t="s">
        <v>137</v>
      </c>
      <c r="H349" s="100"/>
      <c r="I349" s="100"/>
      <c r="O349" s="101"/>
      <c r="S349" s="101"/>
      <c r="T349" s="101"/>
      <c r="U349" s="101"/>
      <c r="V349" s="101"/>
      <c r="X349" s="101"/>
    </row>
    <row r="350" spans="1:35" ht="14">
      <c r="A350" s="97" t="s">
        <v>587</v>
      </c>
      <c r="G350" s="106" t="s">
        <v>137</v>
      </c>
      <c r="H350" s="100"/>
      <c r="I350" s="100"/>
      <c r="O350" s="101"/>
      <c r="S350" s="101"/>
      <c r="T350" s="101"/>
      <c r="U350" s="101"/>
      <c r="V350" s="101"/>
      <c r="X350" s="101"/>
    </row>
    <row r="351" spans="1:35" ht="13">
      <c r="A351" s="114"/>
      <c r="B351" s="115"/>
      <c r="C351" s="116"/>
      <c r="D351" s="117"/>
      <c r="E351" s="118"/>
      <c r="F351" s="119"/>
      <c r="G351" s="119"/>
      <c r="H351" s="120"/>
      <c r="I351" s="121"/>
      <c r="J351" s="122"/>
      <c r="K351" s="121"/>
      <c r="L351" s="123"/>
      <c r="M351" s="121"/>
      <c r="N351" s="121"/>
      <c r="O351" s="121"/>
      <c r="P351" s="121"/>
      <c r="Q351" s="121"/>
      <c r="R351" s="121"/>
      <c r="S351" s="124"/>
      <c r="T351" s="125"/>
      <c r="U351" s="121"/>
      <c r="V351" s="126"/>
      <c r="W351" s="121"/>
      <c r="X351" s="125"/>
      <c r="Y351" s="121"/>
      <c r="Z351" s="127"/>
      <c r="AA351" s="128"/>
      <c r="AB351" s="128"/>
      <c r="AC351" s="128"/>
      <c r="AD351" s="128"/>
      <c r="AE351" s="128"/>
      <c r="AF351" s="128"/>
      <c r="AG351" s="128"/>
      <c r="AH351" s="128"/>
      <c r="AI351" s="128"/>
    </row>
  </sheetData>
  <autoFilter ref="G1:G351" xr:uid="{00000000-0009-0000-0000-000004000000}"/>
  <phoneticPr fontId="67" type="noConversion"/>
  <dataValidations count="14">
    <dataValidation type="list" allowBlank="1" showInputMessage="1" showErrorMessage="1" sqref="I2:I1048576" xr:uid="{00000000-0002-0000-0400-000000000000}">
      <formula1>"确定,拒绝,"</formula1>
    </dataValidation>
    <dataValidation type="list" allowBlank="1" showInputMessage="1" showErrorMessage="1" sqref="H2:H1048576 M351:N351" xr:uid="{00000000-0002-0000-0400-000001000000}">
      <formula1>"是,否,"</formula1>
    </dataValidation>
    <dataValidation type="list" showInputMessage="1" showErrorMessage="1" sqref="D1:D1048576" xr:uid="{00000000-0002-0000-0400-000002000000}">
      <formula1>"有,无,有客制化品牌潜力,客制化商品,是否已有客制化商品,"</formula1>
    </dataValidation>
    <dataValidation type="list" allowBlank="1" showInputMessage="1" showErrorMessage="1" sqref="G2:G1048576" xr:uid="{00000000-0002-0000-0400-000003000000}">
      <formula1>"老帕,马鹿,E,匀涵,琛,布布,"</formula1>
    </dataValidation>
    <dataValidation type="list" allowBlank="1" showInputMessage="1" showErrorMessage="1" sqref="J351" xr:uid="{00000000-0002-0000-0400-000004000000}">
      <formula1>"客制化,非客制化商品,客制化：农产品,装机,"</formula1>
    </dataValidation>
    <dataValidation type="list" allowBlank="1" showInputMessage="1" showErrorMessage="1" sqref="K351" xr:uid="{00000000-0002-0000-0400-000005000000}">
      <formula1>"生鲜农产,装机,3C数码,食品,服装配饰,个护美妆,礼品文创,图书教育,模玩手办,家居日用,"</formula1>
    </dataValidation>
    <dataValidation type="list" allowBlank="1" showInputMessage="1" showErrorMessage="1" sqref="L351" xr:uid="{00000000-0002-0000-0400-000006000000}">
      <formula1>"试水做判断（有收入）,稳定的收入来源之一（~30%））,重要收入来源（超过50%）,"</formula1>
    </dataValidation>
    <dataValidation type="list" allowBlank="1" showInputMessage="1" showErrorMessage="1" sqref="Q351" xr:uid="{00000000-0002-0000-0400-000009000000}">
      <formula1>"老帕,E,马匀涵,马鹿,阿哩布布,琛,雪如,奥粒,"</formula1>
    </dataValidation>
    <dataValidation type="list" allowBlank="1" showInputMessage="1" showErrorMessage="1" sqref="R351" xr:uid="{00000000-0002-0000-0400-00000A000000}">
      <formula1>"P0,P1,P2,"</formula1>
    </dataValidation>
    <dataValidation type="list" allowBlank="1" showInputMessage="1" showErrorMessage="1" sqref="S351" xr:uid="{00000000-0002-0000-0400-00000B000000}">
      <formula1>"是，生态影响力大,是，增长潜力大,是，已/待聊深度绑定,否,"</formula1>
    </dataValidation>
    <dataValidation type="list" allowBlank="1" showInputMessage="1" showErrorMessage="1" sqref="U351" xr:uid="{00000000-0002-0000-0400-00000C000000}">
      <formula1>"已建联,未建联,"</formula1>
    </dataValidation>
    <dataValidation type="list" allowBlank="1" showInputMessage="1" showErrorMessage="1" sqref="V351" xr:uid="{00000000-0002-0000-0400-00000D000000}">
      <formula1>"未入驻,已入驻,拒绝入驻,"</formula1>
    </dataValidation>
    <dataValidation type="list" allowBlank="1" showInputMessage="1" showErrorMessage="1" sqref="W351" xr:uid="{00000000-0002-0000-0400-00000E000000}">
      <formula1>"不看好：观望/不投资源,电商业务在收缩,内容停更,生娃不可抗,做抖音,不看好：重点经营竞媒/淘宝,"</formula1>
    </dataValidation>
    <dataValidation type="list" allowBlank="1" showInputMessage="1" showErrorMessage="1" sqref="Y351" xr:uid="{00000000-0002-0000-0400-00000F000000}">
      <formula1>"未启动,商品已上架,开始内容带货,"</formula1>
    </dataValidation>
  </dataValidations>
  <hyperlinks>
    <hyperlink ref="J59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进展数据"/>
  <dimension ref="B1:Q78"/>
  <sheetViews>
    <sheetView showGridLines="0" workbookViewId="0"/>
  </sheetViews>
  <sheetFormatPr defaultRowHeight="14"/>
  <cols>
    <col min="1" max="1" width="4.54296875" customWidth="1"/>
    <col min="2" max="2" width="15.6328125" customWidth="1"/>
    <col min="3" max="3" width="19" customWidth="1"/>
    <col min="9" max="11" width="15.81640625" customWidth="1"/>
  </cols>
  <sheetData>
    <row r="1" spans="2:17" ht="13">
      <c r="B1" s="442" t="s">
        <v>0</v>
      </c>
      <c r="C1" t="s">
        <v>1624</v>
      </c>
    </row>
    <row r="2" spans="2:17" ht="13">
      <c r="D2" s="1"/>
      <c r="E2" s="1"/>
      <c r="F2" s="1"/>
      <c r="N2" s="2" t="s">
        <v>1</v>
      </c>
      <c r="O2" s="3" t="s">
        <v>2</v>
      </c>
      <c r="P2" s="3" t="s">
        <v>3</v>
      </c>
      <c r="Q2" s="4" t="s">
        <v>4</v>
      </c>
    </row>
    <row r="3" spans="2:17" ht="13">
      <c r="B3" s="442" t="s">
        <v>1622</v>
      </c>
      <c r="N3" s="5" t="s">
        <v>6</v>
      </c>
      <c r="O3" s="6">
        <v>128</v>
      </c>
      <c r="P3" s="6">
        <v>161233</v>
      </c>
      <c r="Q3" s="7">
        <v>21364</v>
      </c>
    </row>
    <row r="4" spans="2:17" ht="13">
      <c r="B4" t="s">
        <v>10</v>
      </c>
      <c r="C4" t="s">
        <v>8</v>
      </c>
      <c r="D4" t="s">
        <v>7</v>
      </c>
      <c r="E4" t="s">
        <v>9</v>
      </c>
      <c r="F4" t="s">
        <v>1623</v>
      </c>
      <c r="G4" t="s">
        <v>11</v>
      </c>
      <c r="N4" s="8" t="s">
        <v>12</v>
      </c>
      <c r="O4" s="1">
        <v>106</v>
      </c>
      <c r="P4" s="1">
        <v>120774</v>
      </c>
      <c r="Q4" s="9">
        <v>15518</v>
      </c>
    </row>
    <row r="5" spans="2:17" ht="13">
      <c r="N5" s="8" t="s">
        <v>13</v>
      </c>
      <c r="O5" s="1">
        <v>10</v>
      </c>
      <c r="P5" s="1">
        <v>22668</v>
      </c>
      <c r="Q5" s="9">
        <v>4512</v>
      </c>
    </row>
    <row r="6" spans="2:17" ht="13">
      <c r="N6" s="8" t="s">
        <v>14</v>
      </c>
      <c r="O6" s="1">
        <v>12</v>
      </c>
      <c r="P6" s="1">
        <v>17791</v>
      </c>
      <c r="Q6" s="9">
        <v>1333</v>
      </c>
    </row>
    <row r="7" spans="2:17" ht="13">
      <c r="N7" s="5" t="s">
        <v>15</v>
      </c>
      <c r="O7" s="6">
        <v>51</v>
      </c>
      <c r="P7" s="10" t="s">
        <v>16</v>
      </c>
      <c r="Q7" s="7">
        <v>67857</v>
      </c>
    </row>
    <row r="8" spans="2:17" ht="13">
      <c r="N8" s="8" t="s">
        <v>14</v>
      </c>
      <c r="O8" s="1">
        <v>37</v>
      </c>
      <c r="P8" s="11" t="s">
        <v>16</v>
      </c>
      <c r="Q8" s="9">
        <v>5176</v>
      </c>
    </row>
    <row r="9" spans="2:17" ht="13">
      <c r="N9" s="12" t="s">
        <v>17</v>
      </c>
      <c r="O9" s="13">
        <v>14</v>
      </c>
      <c r="P9" s="14" t="s">
        <v>16</v>
      </c>
      <c r="Q9" s="15">
        <v>62680</v>
      </c>
    </row>
    <row r="10" spans="2:17" ht="13">
      <c r="N10" s="16" t="s">
        <v>11</v>
      </c>
      <c r="O10" s="17">
        <v>179</v>
      </c>
      <c r="P10" s="17">
        <v>161233</v>
      </c>
      <c r="Q10" s="18">
        <v>89221</v>
      </c>
    </row>
    <row r="11" spans="2:17" ht="13"/>
    <row r="12" spans="2:17" ht="13"/>
    <row r="13" spans="2:17" ht="13">
      <c r="N13" s="19" t="s">
        <v>1</v>
      </c>
      <c r="O13" s="20" t="s">
        <v>2</v>
      </c>
      <c r="P13" s="20" t="s">
        <v>3</v>
      </c>
      <c r="Q13" s="21" t="s">
        <v>4</v>
      </c>
    </row>
    <row r="14" spans="2:17" ht="13">
      <c r="B14" t="s">
        <v>11</v>
      </c>
      <c r="C14">
        <v>9</v>
      </c>
      <c r="D14" s="1">
        <v>17</v>
      </c>
      <c r="E14" s="1">
        <v>22</v>
      </c>
      <c r="F14" s="1">
        <v>38</v>
      </c>
      <c r="G14" s="1">
        <v>86</v>
      </c>
      <c r="N14" s="22" t="s">
        <v>18</v>
      </c>
      <c r="O14" s="1">
        <v>17</v>
      </c>
      <c r="P14" s="1">
        <v>26412.042799999999</v>
      </c>
      <c r="Q14" s="9">
        <v>8351.5751</v>
      </c>
    </row>
    <row r="15" spans="2:17" ht="13">
      <c r="D15" s="1"/>
      <c r="E15" s="1"/>
      <c r="F15" s="1"/>
      <c r="G15" s="1"/>
      <c r="N15" s="22" t="s">
        <v>19</v>
      </c>
      <c r="O15" s="1">
        <v>15</v>
      </c>
      <c r="P15" s="1">
        <v>8824.5</v>
      </c>
      <c r="Q15" s="9">
        <v>1362.1487999999999</v>
      </c>
    </row>
    <row r="16" spans="2:17" ht="13">
      <c r="D16" s="1"/>
      <c r="E16" s="1"/>
      <c r="F16" s="1"/>
      <c r="G16" s="1"/>
      <c r="N16" s="22" t="s">
        <v>20</v>
      </c>
      <c r="O16" s="1">
        <v>19</v>
      </c>
      <c r="P16" s="1">
        <v>27298</v>
      </c>
      <c r="Q16" s="9">
        <v>5392.6423000000004</v>
      </c>
    </row>
    <row r="17" spans="3:17" ht="13">
      <c r="C17" t="s">
        <v>21</v>
      </c>
      <c r="D17" s="1">
        <v>1</v>
      </c>
      <c r="E17" s="1"/>
      <c r="F17" s="1"/>
      <c r="G17" s="1">
        <v>1</v>
      </c>
      <c r="N17" s="22" t="s">
        <v>22</v>
      </c>
      <c r="O17" s="1">
        <v>16</v>
      </c>
      <c r="P17" s="1">
        <v>42955.892500000002</v>
      </c>
      <c r="Q17" s="9">
        <v>545.1123</v>
      </c>
    </row>
    <row r="18" spans="3:17" ht="13">
      <c r="C18" t="s">
        <v>23</v>
      </c>
      <c r="D18" s="1"/>
      <c r="E18" s="1">
        <v>1</v>
      </c>
      <c r="F18" s="1"/>
      <c r="G18" s="1">
        <v>1</v>
      </c>
      <c r="N18" s="22" t="s">
        <v>24</v>
      </c>
      <c r="O18" s="1">
        <v>38</v>
      </c>
      <c r="P18" s="1">
        <v>27994.371500000001</v>
      </c>
      <c r="Q18" s="9">
        <v>3821.7543999999998</v>
      </c>
    </row>
    <row r="19" spans="3:17" ht="13">
      <c r="C19" t="s">
        <v>25</v>
      </c>
      <c r="D19" s="1"/>
      <c r="E19" s="1"/>
      <c r="F19" s="1">
        <v>1</v>
      </c>
      <c r="G19" s="1">
        <v>1</v>
      </c>
      <c r="N19" s="22" t="s">
        <v>26</v>
      </c>
      <c r="O19" s="1">
        <v>20</v>
      </c>
      <c r="P19" s="1">
        <v>24738.014999999999</v>
      </c>
      <c r="Q19" s="9">
        <v>1541.8373999999999</v>
      </c>
    </row>
    <row r="20" spans="3:17" ht="13">
      <c r="C20" t="s">
        <v>27</v>
      </c>
      <c r="D20" s="1"/>
      <c r="E20" s="1"/>
      <c r="F20" s="1">
        <v>1</v>
      </c>
      <c r="G20" s="1">
        <v>1</v>
      </c>
      <c r="N20" s="23" t="s">
        <v>28</v>
      </c>
      <c r="O20" s="24">
        <v>3</v>
      </c>
      <c r="P20" s="24">
        <v>3010.5</v>
      </c>
      <c r="Q20" s="25">
        <v>348.92579999999998</v>
      </c>
    </row>
    <row r="21" spans="3:17" ht="13">
      <c r="C21" t="s">
        <v>29</v>
      </c>
      <c r="D21" s="1">
        <v>1</v>
      </c>
      <c r="E21" s="1"/>
      <c r="F21" s="1"/>
      <c r="G21" s="1">
        <v>1</v>
      </c>
      <c r="N21" s="16" t="s">
        <v>11</v>
      </c>
      <c r="O21" s="17">
        <v>128</v>
      </c>
      <c r="P21" s="17">
        <v>161233.32180000001</v>
      </c>
      <c r="Q21" s="18">
        <v>21363.9961</v>
      </c>
    </row>
    <row r="22" spans="3:17" ht="13">
      <c r="C22" t="s">
        <v>30</v>
      </c>
      <c r="D22" s="1">
        <v>1</v>
      </c>
      <c r="E22" s="1"/>
      <c r="F22" s="1"/>
      <c r="G22" s="1">
        <v>1</v>
      </c>
    </row>
    <row r="23" spans="3:17" ht="13">
      <c r="C23" t="s">
        <v>31</v>
      </c>
      <c r="D23" s="1"/>
      <c r="E23" s="1"/>
      <c r="F23" s="1">
        <v>1</v>
      </c>
      <c r="G23" s="1">
        <v>1</v>
      </c>
    </row>
    <row r="24" spans="3:17" ht="13">
      <c r="C24" t="s">
        <v>32</v>
      </c>
      <c r="D24" s="1"/>
      <c r="E24" s="1">
        <v>1</v>
      </c>
      <c r="F24" s="1"/>
      <c r="G24" s="1">
        <v>1</v>
      </c>
      <c r="N24" s="19" t="s">
        <v>1</v>
      </c>
      <c r="O24" s="20" t="s">
        <v>2</v>
      </c>
      <c r="P24" s="20" t="s">
        <v>3</v>
      </c>
      <c r="Q24" s="21" t="s">
        <v>4</v>
      </c>
    </row>
    <row r="25" spans="3:17" ht="13">
      <c r="C25" t="s">
        <v>33</v>
      </c>
      <c r="D25" s="1">
        <v>1</v>
      </c>
      <c r="E25" s="1"/>
      <c r="F25" s="1"/>
      <c r="G25">
        <v>1</v>
      </c>
      <c r="N25" s="22" t="s">
        <v>34</v>
      </c>
      <c r="O25">
        <v>16</v>
      </c>
      <c r="P25" s="1">
        <v>59447.664299999997</v>
      </c>
      <c r="Q25" s="9">
        <v>11395.149299999999</v>
      </c>
    </row>
    <row r="26" spans="3:17" ht="13">
      <c r="C26" t="s">
        <v>35</v>
      </c>
      <c r="D26" s="1">
        <v>1</v>
      </c>
      <c r="E26" s="1"/>
      <c r="F26" s="1"/>
      <c r="G26">
        <v>1</v>
      </c>
      <c r="N26" s="22" t="s">
        <v>36</v>
      </c>
      <c r="O26">
        <v>18</v>
      </c>
      <c r="P26" s="1">
        <v>5476.8014999999996</v>
      </c>
      <c r="Q26" s="9">
        <v>3485.5868999999998</v>
      </c>
    </row>
    <row r="27" spans="3:17" ht="13">
      <c r="C27" t="s">
        <v>37</v>
      </c>
      <c r="D27">
        <v>1</v>
      </c>
      <c r="G27">
        <v>1</v>
      </c>
      <c r="N27" s="22" t="s">
        <v>38</v>
      </c>
      <c r="O27">
        <v>20</v>
      </c>
      <c r="P27" s="1">
        <v>620.577</v>
      </c>
      <c r="Q27" s="9">
        <v>574.55579999999998</v>
      </c>
    </row>
    <row r="28" spans="3:17" ht="13">
      <c r="C28" t="s">
        <v>39</v>
      </c>
      <c r="F28">
        <v>1</v>
      </c>
      <c r="G28">
        <v>1</v>
      </c>
      <c r="N28" s="26" t="s">
        <v>11</v>
      </c>
      <c r="O28" s="27">
        <v>54</v>
      </c>
      <c r="P28" s="28">
        <v>65545.042799999996</v>
      </c>
      <c r="Q28" s="29">
        <v>15455.291999999999</v>
      </c>
    </row>
    <row r="29" spans="3:17" ht="13">
      <c r="C29" t="s">
        <v>40</v>
      </c>
      <c r="D29">
        <v>1</v>
      </c>
      <c r="G29">
        <v>1</v>
      </c>
    </row>
    <row r="30" spans="3:17" ht="13">
      <c r="C30" t="s">
        <v>41</v>
      </c>
      <c r="E30">
        <v>1</v>
      </c>
      <c r="G30">
        <v>1</v>
      </c>
    </row>
    <row r="31" spans="3:17" ht="13">
      <c r="C31" t="s">
        <v>42</v>
      </c>
      <c r="F31">
        <v>1</v>
      </c>
      <c r="G31">
        <v>1</v>
      </c>
      <c r="M31" s="30" t="s">
        <v>43</v>
      </c>
      <c r="N31" s="31" t="s">
        <v>44</v>
      </c>
      <c r="O31" s="32" t="s">
        <v>2</v>
      </c>
      <c r="P31" s="33" t="s">
        <v>3</v>
      </c>
      <c r="Q31" s="31" t="s">
        <v>4</v>
      </c>
    </row>
    <row r="32" spans="3:17" ht="13">
      <c r="C32" t="s">
        <v>45</v>
      </c>
      <c r="D32">
        <v>1</v>
      </c>
      <c r="G32">
        <v>1</v>
      </c>
      <c r="M32" s="435" t="s">
        <v>46</v>
      </c>
      <c r="N32" s="34" t="s">
        <v>11</v>
      </c>
      <c r="O32" s="35">
        <v>11</v>
      </c>
      <c r="P32" s="36">
        <v>17683.365000000002</v>
      </c>
      <c r="Q32" s="37">
        <v>7034.5191999999997</v>
      </c>
    </row>
    <row r="33" spans="2:17" ht="13">
      <c r="C33" t="s">
        <v>47</v>
      </c>
      <c r="D33">
        <v>1</v>
      </c>
      <c r="G33">
        <v>1</v>
      </c>
      <c r="M33" s="436"/>
      <c r="N33" s="38" t="s">
        <v>48</v>
      </c>
      <c r="O33" s="39">
        <v>2</v>
      </c>
      <c r="P33" s="40">
        <v>11700</v>
      </c>
      <c r="Q33" s="41">
        <v>5500</v>
      </c>
    </row>
    <row r="34" spans="2:17" ht="13">
      <c r="C34" t="s">
        <v>49</v>
      </c>
      <c r="D34">
        <v>1</v>
      </c>
      <c r="G34">
        <v>1</v>
      </c>
      <c r="M34" s="436"/>
      <c r="N34" s="42" t="s">
        <v>50</v>
      </c>
      <c r="O34" s="43">
        <v>4</v>
      </c>
      <c r="P34" s="44">
        <v>4690.34</v>
      </c>
      <c r="Q34" s="45">
        <v>1448.8966</v>
      </c>
    </row>
    <row r="35" spans="2:17" ht="13">
      <c r="C35" t="s">
        <v>51</v>
      </c>
      <c r="D35">
        <v>1</v>
      </c>
      <c r="G35">
        <v>1</v>
      </c>
      <c r="M35" s="436"/>
      <c r="N35" s="42" t="s">
        <v>52</v>
      </c>
      <c r="O35" s="43">
        <v>3</v>
      </c>
      <c r="P35" s="44">
        <v>1287.0250000000001</v>
      </c>
      <c r="Q35" s="45">
        <v>85.561400000000006</v>
      </c>
    </row>
    <row r="36" spans="2:17" ht="13">
      <c r="C36" t="s">
        <v>53</v>
      </c>
      <c r="E36">
        <v>1</v>
      </c>
      <c r="G36">
        <v>1</v>
      </c>
      <c r="M36" s="437"/>
      <c r="N36" s="46" t="s">
        <v>54</v>
      </c>
      <c r="O36" s="47">
        <v>2</v>
      </c>
      <c r="P36" s="48">
        <v>6</v>
      </c>
      <c r="Q36" s="49">
        <v>6.1199999999999997E-2</v>
      </c>
    </row>
    <row r="37" spans="2:17" ht="13">
      <c r="C37" t="s">
        <v>55</v>
      </c>
      <c r="E37">
        <v>1</v>
      </c>
      <c r="G37">
        <v>1</v>
      </c>
      <c r="M37" s="435" t="s">
        <v>56</v>
      </c>
      <c r="N37" s="34" t="s">
        <v>11</v>
      </c>
      <c r="O37" s="35">
        <v>7</v>
      </c>
      <c r="P37" s="36">
        <v>9423.2000000000007</v>
      </c>
      <c r="Q37" s="37">
        <v>828.30309999999997</v>
      </c>
    </row>
    <row r="38" spans="2:17" ht="13">
      <c r="C38" t="s">
        <v>57</v>
      </c>
      <c r="E38">
        <v>1</v>
      </c>
      <c r="G38">
        <v>1</v>
      </c>
      <c r="M38" s="436"/>
      <c r="N38" s="38" t="s">
        <v>50</v>
      </c>
      <c r="O38" s="39">
        <v>2</v>
      </c>
      <c r="P38" s="40">
        <v>9000</v>
      </c>
      <c r="Q38" s="41">
        <v>683.47</v>
      </c>
    </row>
    <row r="39" spans="2:17" ht="13">
      <c r="C39" t="s">
        <v>58</v>
      </c>
      <c r="D39">
        <v>1</v>
      </c>
      <c r="G39">
        <v>1</v>
      </c>
      <c r="M39" s="436"/>
      <c r="N39" s="42" t="s">
        <v>52</v>
      </c>
      <c r="O39" s="43">
        <v>4</v>
      </c>
      <c r="P39" s="44">
        <v>423.2</v>
      </c>
      <c r="Q39" s="45">
        <v>135.39439999999999</v>
      </c>
    </row>
    <row r="40" spans="2:17" ht="13">
      <c r="C40" t="s">
        <v>59</v>
      </c>
      <c r="D40">
        <v>1</v>
      </c>
      <c r="G40">
        <v>1</v>
      </c>
      <c r="M40" s="438"/>
      <c r="N40" s="50" t="s">
        <v>54</v>
      </c>
      <c r="O40" s="51">
        <v>1</v>
      </c>
      <c r="P40" s="52">
        <v>0</v>
      </c>
      <c r="Q40" s="53">
        <v>9.4387000000000008</v>
      </c>
    </row>
    <row r="41" spans="2:17" ht="13">
      <c r="C41" t="s">
        <v>60</v>
      </c>
      <c r="E41">
        <v>1</v>
      </c>
      <c r="G41">
        <v>1</v>
      </c>
      <c r="M41" s="439" t="s">
        <v>61</v>
      </c>
      <c r="N41" s="54" t="s">
        <v>11</v>
      </c>
      <c r="O41" s="55">
        <v>110</v>
      </c>
      <c r="P41" s="56">
        <v>134126.7568</v>
      </c>
      <c r="Q41" s="57">
        <v>13501.1738</v>
      </c>
    </row>
    <row r="42" spans="2:17" ht="13">
      <c r="C42" t="s">
        <v>62</v>
      </c>
      <c r="F42">
        <v>1</v>
      </c>
      <c r="G42">
        <v>1</v>
      </c>
      <c r="M42" s="436"/>
      <c r="N42" s="38" t="s">
        <v>50</v>
      </c>
      <c r="O42" s="39">
        <v>26</v>
      </c>
      <c r="P42" s="40">
        <v>29013.148499999999</v>
      </c>
      <c r="Q42" s="41">
        <v>6267.1316999999999</v>
      </c>
    </row>
    <row r="43" spans="2:17" ht="13">
      <c r="C43" t="s">
        <v>63</v>
      </c>
      <c r="E43">
        <v>1</v>
      </c>
      <c r="G43">
        <v>1</v>
      </c>
      <c r="M43" s="436"/>
      <c r="N43" s="42" t="s">
        <v>48</v>
      </c>
      <c r="O43" s="43">
        <v>4</v>
      </c>
      <c r="P43" s="44">
        <v>5602.7343000000001</v>
      </c>
      <c r="Q43" s="45">
        <v>5390.5763999999999</v>
      </c>
    </row>
    <row r="44" spans="2:17" ht="13">
      <c r="C44" t="s">
        <v>64</v>
      </c>
      <c r="E44">
        <v>1</v>
      </c>
      <c r="G44">
        <v>1</v>
      </c>
      <c r="M44" s="436"/>
      <c r="N44" s="42" t="s">
        <v>52</v>
      </c>
      <c r="O44" s="43">
        <v>47</v>
      </c>
      <c r="P44" s="44">
        <v>59850.552499999998</v>
      </c>
      <c r="Q44" s="45">
        <v>1731.14</v>
      </c>
    </row>
    <row r="45" spans="2:17" ht="13">
      <c r="C45" t="s">
        <v>65</v>
      </c>
      <c r="F45">
        <v>1</v>
      </c>
      <c r="G45">
        <v>1</v>
      </c>
      <c r="M45" s="437"/>
      <c r="N45" s="46" t="s">
        <v>54</v>
      </c>
      <c r="O45" s="47">
        <v>33</v>
      </c>
      <c r="P45" s="48">
        <v>39660.321499999998</v>
      </c>
      <c r="Q45" s="49">
        <v>112.3257</v>
      </c>
    </row>
    <row r="46" spans="2:17" ht="13">
      <c r="C46" t="s">
        <v>66</v>
      </c>
      <c r="D46">
        <v>1</v>
      </c>
      <c r="G46">
        <v>1</v>
      </c>
      <c r="M46" s="440" t="s">
        <v>11</v>
      </c>
      <c r="N46" s="441"/>
      <c r="O46" s="58">
        <v>128</v>
      </c>
      <c r="P46" s="59">
        <v>161233.32180000001</v>
      </c>
      <c r="Q46" s="60">
        <v>21363.9961</v>
      </c>
    </row>
    <row r="47" spans="2:17" ht="13">
      <c r="C47" t="s">
        <v>11</v>
      </c>
      <c r="D47">
        <v>17</v>
      </c>
      <c r="E47">
        <v>14</v>
      </c>
      <c r="F47">
        <v>11</v>
      </c>
      <c r="G47">
        <v>42</v>
      </c>
      <c r="M47" s="61" t="s">
        <v>1</v>
      </c>
    </row>
    <row r="48" spans="2:17" ht="13">
      <c r="B48" t="s">
        <v>19</v>
      </c>
      <c r="C48" t="s">
        <v>67</v>
      </c>
      <c r="E48">
        <v>1</v>
      </c>
      <c r="G48">
        <v>1</v>
      </c>
    </row>
    <row r="49" spans="2:17" ht="13">
      <c r="C49" t="s">
        <v>68</v>
      </c>
      <c r="E49">
        <v>1</v>
      </c>
      <c r="G49">
        <v>1</v>
      </c>
    </row>
    <row r="50" spans="2:17" ht="13">
      <c r="C50" t="s">
        <v>69</v>
      </c>
      <c r="E50">
        <v>1</v>
      </c>
      <c r="G50">
        <v>1</v>
      </c>
      <c r="N50" s="62" t="s">
        <v>70</v>
      </c>
    </row>
    <row r="51" spans="2:17" ht="13">
      <c r="C51" t="s">
        <v>71</v>
      </c>
      <c r="E51">
        <v>1</v>
      </c>
      <c r="G51">
        <v>1</v>
      </c>
      <c r="N51" s="63" t="s">
        <v>1</v>
      </c>
      <c r="O51" s="3" t="s">
        <v>2</v>
      </c>
      <c r="P51" s="64" t="s">
        <v>3</v>
      </c>
      <c r="Q51" s="4" t="s">
        <v>4</v>
      </c>
    </row>
    <row r="52" spans="2:17" ht="13">
      <c r="C52" t="s">
        <v>72</v>
      </c>
      <c r="E52">
        <v>1</v>
      </c>
      <c r="G52">
        <v>1</v>
      </c>
      <c r="N52" s="65" t="s">
        <v>11</v>
      </c>
      <c r="O52" s="66">
        <v>180</v>
      </c>
      <c r="P52" s="67" t="s">
        <v>16</v>
      </c>
      <c r="Q52" s="68">
        <v>89434.580799999996</v>
      </c>
    </row>
    <row r="53" spans="2:17" ht="13">
      <c r="C53" t="s">
        <v>73</v>
      </c>
      <c r="F53">
        <v>1</v>
      </c>
      <c r="G53">
        <v>1</v>
      </c>
      <c r="N53" s="69" t="s">
        <v>14</v>
      </c>
      <c r="O53" s="70">
        <v>49</v>
      </c>
      <c r="P53" s="71" t="s">
        <v>16</v>
      </c>
      <c r="Q53" s="72">
        <v>6509.7882</v>
      </c>
    </row>
    <row r="54" spans="2:17" ht="13">
      <c r="C54" t="s">
        <v>11</v>
      </c>
      <c r="E54">
        <v>5</v>
      </c>
      <c r="F54">
        <v>1</v>
      </c>
      <c r="G54">
        <v>6</v>
      </c>
      <c r="N54" s="69" t="s">
        <v>12</v>
      </c>
      <c r="O54" s="73">
        <f>SUM(O55:O57)</f>
        <v>131</v>
      </c>
      <c r="P54" s="74">
        <f>SUM(P55:P57)</f>
        <v>143942.0343</v>
      </c>
      <c r="Q54" s="72">
        <f>SUM(Q55:Q57)</f>
        <v>82924.792600000001</v>
      </c>
    </row>
    <row r="55" spans="2:17" ht="13">
      <c r="B55" t="s">
        <v>18</v>
      </c>
      <c r="C55" t="s">
        <v>74</v>
      </c>
      <c r="E55">
        <v>1</v>
      </c>
      <c r="G55">
        <v>1</v>
      </c>
      <c r="N55" s="75" t="s">
        <v>75</v>
      </c>
      <c r="O55">
        <v>10</v>
      </c>
      <c r="P55" s="76">
        <v>22668.069800000001</v>
      </c>
      <c r="Q55" s="9">
        <v>4511.8963999999996</v>
      </c>
    </row>
    <row r="56" spans="2:17" ht="13">
      <c r="C56" t="s">
        <v>76</v>
      </c>
      <c r="E56">
        <v>1</v>
      </c>
      <c r="G56">
        <v>1</v>
      </c>
      <c r="N56" s="75" t="s">
        <v>77</v>
      </c>
      <c r="O56" s="77">
        <v>14</v>
      </c>
      <c r="P56" s="78" t="s">
        <v>16</v>
      </c>
      <c r="Q56" s="9">
        <v>62680.5838</v>
      </c>
    </row>
    <row r="57" spans="2:17" ht="13">
      <c r="C57" t="s">
        <v>78</v>
      </c>
      <c r="E57">
        <v>1</v>
      </c>
      <c r="G57">
        <v>1</v>
      </c>
      <c r="N57" s="79" t="s">
        <v>79</v>
      </c>
      <c r="O57" s="80">
        <v>107</v>
      </c>
      <c r="P57" s="81">
        <v>121273.9645</v>
      </c>
      <c r="Q57" s="15">
        <v>15732.312400000001</v>
      </c>
    </row>
    <row r="58" spans="2:17" ht="13">
      <c r="C58" t="s">
        <v>80</v>
      </c>
      <c r="D58">
        <v>1</v>
      </c>
      <c r="G58">
        <v>1</v>
      </c>
    </row>
    <row r="59" spans="2:17" ht="13">
      <c r="C59" t="s">
        <v>11</v>
      </c>
      <c r="D59">
        <v>1</v>
      </c>
      <c r="E59">
        <v>3</v>
      </c>
      <c r="G59">
        <v>4</v>
      </c>
    </row>
    <row r="60" spans="2:17" ht="13">
      <c r="B60" t="s">
        <v>20</v>
      </c>
      <c r="C60" t="s">
        <v>81</v>
      </c>
      <c r="F60">
        <v>1</v>
      </c>
      <c r="G60">
        <v>1</v>
      </c>
      <c r="N60" s="62" t="s">
        <v>82</v>
      </c>
    </row>
    <row r="61" spans="2:17" ht="13">
      <c r="C61" t="s">
        <v>83</v>
      </c>
      <c r="E61">
        <v>1</v>
      </c>
      <c r="G61">
        <v>1</v>
      </c>
      <c r="N61" s="82" t="s">
        <v>1</v>
      </c>
      <c r="O61" s="3" t="s">
        <v>2</v>
      </c>
      <c r="P61" s="64" t="s">
        <v>3</v>
      </c>
      <c r="Q61" s="4" t="s">
        <v>4</v>
      </c>
    </row>
    <row r="62" spans="2:17" ht="13">
      <c r="C62" t="s">
        <v>84</v>
      </c>
      <c r="E62">
        <v>1</v>
      </c>
      <c r="G62">
        <v>1</v>
      </c>
      <c r="N62" s="65" t="s">
        <v>11</v>
      </c>
      <c r="O62" s="83">
        <v>180</v>
      </c>
      <c r="P62" s="84">
        <v>161733.32180000001</v>
      </c>
      <c r="Q62" s="68">
        <v>89434.580799999996</v>
      </c>
    </row>
    <row r="63" spans="2:17" ht="13">
      <c r="C63" t="s">
        <v>85</v>
      </c>
      <c r="E63">
        <v>1</v>
      </c>
      <c r="G63">
        <v>1</v>
      </c>
      <c r="N63" s="69" t="s">
        <v>14</v>
      </c>
      <c r="O63" s="85">
        <v>37</v>
      </c>
      <c r="P63" s="71" t="s">
        <v>16</v>
      </c>
      <c r="Q63" s="72">
        <v>5176</v>
      </c>
    </row>
    <row r="64" spans="2:17" ht="13">
      <c r="C64" t="s">
        <v>86</v>
      </c>
      <c r="D64">
        <v>1</v>
      </c>
      <c r="G64">
        <v>1</v>
      </c>
      <c r="N64" s="69" t="s">
        <v>12</v>
      </c>
      <c r="O64" s="73">
        <f>SUM(O65:O67)</f>
        <v>143</v>
      </c>
      <c r="P64" s="74">
        <f>SUM(P65:P67)</f>
        <v>161733.0343</v>
      </c>
      <c r="Q64" s="72">
        <f>SUM(Q65:Q67)</f>
        <v>84257.792600000001</v>
      </c>
    </row>
    <row r="65" spans="2:17" ht="13">
      <c r="C65" t="s">
        <v>11</v>
      </c>
      <c r="D65">
        <v>1</v>
      </c>
      <c r="E65">
        <v>3</v>
      </c>
      <c r="F65">
        <v>1</v>
      </c>
      <c r="G65">
        <v>5</v>
      </c>
      <c r="N65" s="75" t="s">
        <v>75</v>
      </c>
      <c r="O65">
        <v>10</v>
      </c>
      <c r="P65" s="76">
        <v>22668.069800000001</v>
      </c>
      <c r="Q65" s="9">
        <v>4511.8963999999996</v>
      </c>
    </row>
    <row r="66" spans="2:17" ht="13">
      <c r="B66" t="s">
        <v>24</v>
      </c>
      <c r="C66" t="s">
        <v>87</v>
      </c>
      <c r="E66">
        <v>1</v>
      </c>
      <c r="G66">
        <v>1</v>
      </c>
      <c r="N66" s="75" t="s">
        <v>77</v>
      </c>
      <c r="O66" s="77">
        <v>14</v>
      </c>
      <c r="P66" s="78" t="s">
        <v>16</v>
      </c>
      <c r="Q66" s="9">
        <v>62680.5838</v>
      </c>
    </row>
    <row r="67" spans="2:17" ht="13">
      <c r="C67" t="s">
        <v>88</v>
      </c>
      <c r="E67">
        <v>1</v>
      </c>
      <c r="G67">
        <v>1</v>
      </c>
      <c r="N67" s="79" t="s">
        <v>79</v>
      </c>
      <c r="O67" s="80">
        <v>119</v>
      </c>
      <c r="P67" s="81">
        <v>139064.9645</v>
      </c>
      <c r="Q67" s="15">
        <v>17065.312399999999</v>
      </c>
    </row>
    <row r="68" spans="2:17" ht="13">
      <c r="C68" t="s">
        <v>89</v>
      </c>
      <c r="D68">
        <v>1</v>
      </c>
      <c r="G68">
        <v>1</v>
      </c>
    </row>
    <row r="69" spans="2:17" ht="13">
      <c r="C69" t="s">
        <v>90</v>
      </c>
      <c r="D69">
        <v>1</v>
      </c>
      <c r="G69">
        <v>1</v>
      </c>
    </row>
    <row r="70" spans="2:17" ht="13">
      <c r="C70" t="s">
        <v>11</v>
      </c>
      <c r="D70">
        <v>2</v>
      </c>
      <c r="E70">
        <v>2</v>
      </c>
      <c r="G70">
        <v>4</v>
      </c>
    </row>
    <row r="71" spans="2:17" ht="13">
      <c r="B71" t="s">
        <v>91</v>
      </c>
      <c r="C71" t="s">
        <v>92</v>
      </c>
      <c r="D71">
        <v>1</v>
      </c>
      <c r="G71">
        <v>1</v>
      </c>
    </row>
    <row r="72" spans="2:17" ht="13">
      <c r="C72" t="s">
        <v>93</v>
      </c>
      <c r="D72">
        <v>1</v>
      </c>
      <c r="G72">
        <v>1</v>
      </c>
    </row>
    <row r="73" spans="2:17" ht="13">
      <c r="C73" t="s">
        <v>94</v>
      </c>
      <c r="E73">
        <v>1</v>
      </c>
      <c r="G73">
        <v>1</v>
      </c>
    </row>
    <row r="74" spans="2:17" ht="13">
      <c r="C74" t="s">
        <v>11</v>
      </c>
      <c r="D74">
        <v>2</v>
      </c>
      <c r="E74">
        <v>1</v>
      </c>
      <c r="G74">
        <v>3</v>
      </c>
    </row>
    <row r="75" spans="2:17" ht="13">
      <c r="B75" t="s">
        <v>22</v>
      </c>
      <c r="C75" t="s">
        <v>95</v>
      </c>
      <c r="E75">
        <v>1</v>
      </c>
      <c r="G75">
        <v>1</v>
      </c>
    </row>
    <row r="76" spans="2:17" ht="13">
      <c r="C76" t="s">
        <v>96</v>
      </c>
      <c r="F76">
        <v>1</v>
      </c>
      <c r="G76">
        <v>1</v>
      </c>
    </row>
    <row r="77" spans="2:17" ht="13">
      <c r="C77" t="s">
        <v>11</v>
      </c>
      <c r="E77">
        <v>1</v>
      </c>
      <c r="F77">
        <v>1</v>
      </c>
      <c r="G77">
        <v>2</v>
      </c>
    </row>
    <row r="78" spans="2:17" ht="13">
      <c r="B78" t="s">
        <v>11</v>
      </c>
      <c r="D78">
        <v>23</v>
      </c>
      <c r="E78">
        <v>29</v>
      </c>
      <c r="F78">
        <v>14</v>
      </c>
      <c r="G78">
        <v>66</v>
      </c>
    </row>
  </sheetData>
  <mergeCells count="4">
    <mergeCell ref="M32:M36"/>
    <mergeCell ref="M37:M40"/>
    <mergeCell ref="M41:M45"/>
    <mergeCell ref="M46:N46"/>
  </mergeCells>
  <phoneticPr fontId="6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头部客制化</vt:lpstr>
      <vt:lpstr>匹配</vt:lpstr>
      <vt:lpstr>交易孵化</vt:lpstr>
      <vt:lpstr>头部非客制化</vt:lpstr>
      <vt:lpstr>从0→1客制化</vt:lpstr>
      <vt:lpstr>进展数据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露玖</cp:lastModifiedBy>
  <dcterms:created xsi:type="dcterms:W3CDTF">2026-03-26T13:36:53Z</dcterms:created>
  <dcterms:modified xsi:type="dcterms:W3CDTF">2026-03-26T05:45:38Z</dcterms:modified>
</cp:coreProperties>
</file>